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hgov-my.sharepoint.com/personal/benjamin_c_niemi_dhhs_nh_gov/Documents/Desktop/Westgard Rule Tool Project/"/>
    </mc:Choice>
  </mc:AlternateContent>
  <xr:revisionPtr revIDLastSave="57" documentId="8_{02246803-A353-474C-999F-0915A5A71E5F}" xr6:coauthVersionLast="47" xr6:coauthVersionMax="47" xr10:uidLastSave="{D0C39D86-7079-499F-B103-2F9A3E471F30}"/>
  <bookViews>
    <workbookView xWindow="-120" yWindow="-120" windowWidth="29040" windowHeight="15720" tabRatio="881" activeTab="14" xr2:uid="{00000000-000D-0000-FFFF-FFFF00000000}"/>
  </bookViews>
  <sheets>
    <sheet name="Results Summary" sheetId="1" r:id="rId1"/>
    <sheet name="Codeine" sheetId="2" r:id="rId2"/>
    <sheet name="Amphetamine" sheetId="3" r:id="rId3"/>
    <sheet name="Norfentanyl" sheetId="4" r:id="rId4"/>
    <sheet name="Norcarfentanil" sheetId="5" r:id="rId5"/>
    <sheet name="Xylazine" sheetId="6" r:id="rId6"/>
    <sheet name="Heroin" sheetId="7" r:id="rId7"/>
    <sheet name="Cocaine" sheetId="8" r:id="rId8"/>
    <sheet name="Acetyl Fentanyl" sheetId="9" r:id="rId9"/>
    <sheet name="Acryl Fentanyl" sheetId="10" r:id="rId10"/>
    <sheet name="Fentanyl" sheetId="11" r:id="rId11"/>
    <sheet name="4-ANPP" sheetId="12" r:id="rId12"/>
    <sheet name="para-Fluorofentanyl" sheetId="13" r:id="rId13"/>
    <sheet name="Carfentanil" sheetId="14" r:id="rId14"/>
    <sheet name="Lorazepam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2" l="1"/>
  <c r="U49" i="2" s="1"/>
  <c r="J34" i="2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U57" i="15"/>
  <c r="U56" i="15"/>
  <c r="U55" i="15"/>
  <c r="U54" i="15"/>
  <c r="U53" i="15"/>
  <c r="U52" i="15"/>
  <c r="U51" i="15"/>
  <c r="U50" i="15"/>
  <c r="U49" i="15"/>
  <c r="U48" i="15"/>
  <c r="U47" i="15"/>
  <c r="U46" i="15"/>
  <c r="U45" i="15"/>
  <c r="U44" i="15"/>
  <c r="U43" i="15"/>
  <c r="U42" i="15"/>
  <c r="U41" i="15"/>
  <c r="U40" i="15"/>
  <c r="U39" i="15"/>
  <c r="U38" i="15"/>
  <c r="U57" i="14"/>
  <c r="U56" i="14"/>
  <c r="U55" i="14"/>
  <c r="U54" i="14"/>
  <c r="U53" i="14"/>
  <c r="U52" i="14"/>
  <c r="U51" i="14"/>
  <c r="U50" i="14"/>
  <c r="U49" i="14"/>
  <c r="U48" i="14"/>
  <c r="U47" i="14"/>
  <c r="U46" i="14"/>
  <c r="U45" i="14"/>
  <c r="U44" i="14"/>
  <c r="U43" i="14"/>
  <c r="U42" i="14"/>
  <c r="U41" i="14"/>
  <c r="U40" i="14"/>
  <c r="U39" i="14"/>
  <c r="U38" i="14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57" i="12"/>
  <c r="U56" i="12"/>
  <c r="U55" i="12"/>
  <c r="U54" i="12"/>
  <c r="U53" i="12"/>
  <c r="U52" i="12"/>
  <c r="U51" i="12"/>
  <c r="U50" i="12"/>
  <c r="U49" i="12"/>
  <c r="U48" i="12"/>
  <c r="U47" i="12"/>
  <c r="U46" i="12"/>
  <c r="U45" i="12"/>
  <c r="U44" i="12"/>
  <c r="U43" i="12"/>
  <c r="U42" i="12"/>
  <c r="U41" i="12"/>
  <c r="U40" i="12"/>
  <c r="U39" i="12"/>
  <c r="U38" i="12"/>
  <c r="U57" i="11"/>
  <c r="U56" i="11"/>
  <c r="U55" i="11"/>
  <c r="U54" i="11"/>
  <c r="U53" i="11"/>
  <c r="U52" i="11"/>
  <c r="U51" i="11"/>
  <c r="U50" i="11"/>
  <c r="U49" i="11"/>
  <c r="U48" i="11"/>
  <c r="U47" i="11"/>
  <c r="U46" i="11"/>
  <c r="U45" i="11"/>
  <c r="U44" i="11"/>
  <c r="U43" i="11"/>
  <c r="U42" i="11"/>
  <c r="U41" i="11"/>
  <c r="U40" i="11"/>
  <c r="U39" i="11"/>
  <c r="U38" i="11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57" i="9"/>
  <c r="U56" i="9"/>
  <c r="U55" i="9"/>
  <c r="U54" i="9"/>
  <c r="U53" i="9"/>
  <c r="U52" i="9"/>
  <c r="U51" i="9"/>
  <c r="U50" i="9"/>
  <c r="U49" i="9"/>
  <c r="U48" i="9"/>
  <c r="U47" i="9"/>
  <c r="U46" i="9"/>
  <c r="U45" i="9"/>
  <c r="U44" i="9"/>
  <c r="U43" i="9"/>
  <c r="U42" i="9"/>
  <c r="U41" i="9"/>
  <c r="U40" i="9"/>
  <c r="U39" i="9"/>
  <c r="U38" i="9"/>
  <c r="U57" i="8"/>
  <c r="U56" i="8"/>
  <c r="U55" i="8"/>
  <c r="U54" i="8"/>
  <c r="U53" i="8"/>
  <c r="U52" i="8"/>
  <c r="U51" i="8"/>
  <c r="U50" i="8"/>
  <c r="U49" i="8"/>
  <c r="U48" i="8"/>
  <c r="U47" i="8"/>
  <c r="U46" i="8"/>
  <c r="U45" i="8"/>
  <c r="U44" i="8"/>
  <c r="U43" i="8"/>
  <c r="U42" i="8"/>
  <c r="U41" i="8"/>
  <c r="U40" i="8"/>
  <c r="U39" i="8"/>
  <c r="U38" i="8"/>
  <c r="V38" i="8"/>
  <c r="U57" i="7"/>
  <c r="U56" i="7"/>
  <c r="U55" i="7"/>
  <c r="U54" i="7"/>
  <c r="U53" i="7"/>
  <c r="U52" i="7"/>
  <c r="U51" i="7"/>
  <c r="U50" i="7"/>
  <c r="U49" i="7"/>
  <c r="U48" i="7"/>
  <c r="U47" i="7"/>
  <c r="U46" i="7"/>
  <c r="U45" i="7"/>
  <c r="U44" i="7"/>
  <c r="U43" i="7"/>
  <c r="U42" i="7"/>
  <c r="U41" i="7"/>
  <c r="U40" i="7"/>
  <c r="U39" i="7"/>
  <c r="U38" i="7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57" i="4"/>
  <c r="U56" i="4"/>
  <c r="U55" i="4"/>
  <c r="U54" i="4"/>
  <c r="U53" i="4"/>
  <c r="U52" i="4"/>
  <c r="U51" i="4"/>
  <c r="U50" i="4"/>
  <c r="U49" i="4"/>
  <c r="U48" i="4"/>
  <c r="U47" i="4"/>
  <c r="U46" i="4"/>
  <c r="U45" i="4"/>
  <c r="U44" i="4"/>
  <c r="U43" i="4"/>
  <c r="U42" i="4"/>
  <c r="U41" i="4"/>
  <c r="U40" i="4"/>
  <c r="U39" i="4"/>
  <c r="U38" i="4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40" i="2"/>
  <c r="U41" i="2"/>
  <c r="U42" i="2"/>
  <c r="U44" i="2"/>
  <c r="U45" i="2"/>
  <c r="U46" i="2"/>
  <c r="U47" i="2"/>
  <c r="U48" i="2"/>
  <c r="U52" i="2"/>
  <c r="U53" i="2"/>
  <c r="U54" i="2"/>
  <c r="U56" i="2"/>
  <c r="U57" i="2"/>
  <c r="U38" i="2"/>
  <c r="U55" i="2" l="1"/>
  <c r="U43" i="2"/>
  <c r="U51" i="2"/>
  <c r="U39" i="2"/>
  <c r="U50" i="2"/>
  <c r="C92" i="15" l="1"/>
  <c r="B92" i="15"/>
  <c r="A92" i="15"/>
  <c r="C91" i="15"/>
  <c r="B91" i="15"/>
  <c r="A91" i="15"/>
  <c r="C90" i="15"/>
  <c r="B90" i="15"/>
  <c r="A90" i="15"/>
  <c r="C89" i="15"/>
  <c r="B89" i="15"/>
  <c r="A89" i="15"/>
  <c r="C88" i="15"/>
  <c r="B88" i="15"/>
  <c r="A88" i="15"/>
  <c r="C87" i="15"/>
  <c r="B87" i="15"/>
  <c r="A87" i="15"/>
  <c r="C86" i="15"/>
  <c r="B86" i="15"/>
  <c r="A86" i="15"/>
  <c r="C85" i="15"/>
  <c r="B85" i="15"/>
  <c r="A85" i="15"/>
  <c r="C84" i="15"/>
  <c r="B84" i="15"/>
  <c r="A84" i="15"/>
  <c r="C83" i="15"/>
  <c r="B83" i="15"/>
  <c r="A83" i="15"/>
  <c r="C82" i="15"/>
  <c r="B82" i="15"/>
  <c r="A82" i="15"/>
  <c r="C81" i="15"/>
  <c r="B81" i="15"/>
  <c r="A81" i="15"/>
  <c r="C80" i="15"/>
  <c r="B80" i="15"/>
  <c r="A80" i="15"/>
  <c r="C79" i="15"/>
  <c r="B79" i="15"/>
  <c r="A79" i="15"/>
  <c r="C78" i="15"/>
  <c r="B78" i="15"/>
  <c r="A78" i="15"/>
  <c r="C77" i="15"/>
  <c r="B77" i="15"/>
  <c r="A77" i="15"/>
  <c r="C76" i="15"/>
  <c r="B76" i="15"/>
  <c r="A76" i="15"/>
  <c r="C75" i="15"/>
  <c r="B75" i="15"/>
  <c r="A75" i="15"/>
  <c r="C74" i="15"/>
  <c r="B74" i="15"/>
  <c r="A74" i="15"/>
  <c r="C73" i="15"/>
  <c r="B73" i="15"/>
  <c r="A73" i="15"/>
  <c r="C72" i="15"/>
  <c r="B72" i="15"/>
  <c r="A72" i="15"/>
  <c r="C71" i="15"/>
  <c r="B71" i="15"/>
  <c r="A71" i="15"/>
  <c r="C70" i="15"/>
  <c r="B70" i="15"/>
  <c r="A70" i="15"/>
  <c r="C69" i="15"/>
  <c r="B69" i="15"/>
  <c r="A69" i="15"/>
  <c r="C68" i="15"/>
  <c r="B68" i="15"/>
  <c r="A68" i="15"/>
  <c r="C67" i="15"/>
  <c r="B67" i="15"/>
  <c r="A67" i="15"/>
  <c r="C66" i="15"/>
  <c r="B66" i="15"/>
  <c r="A66" i="15"/>
  <c r="C65" i="15"/>
  <c r="B65" i="15"/>
  <c r="A65" i="15"/>
  <c r="C64" i="15"/>
  <c r="B64" i="15"/>
  <c r="A64" i="15"/>
  <c r="C63" i="15"/>
  <c r="B63" i="15"/>
  <c r="A63" i="15"/>
  <c r="C62" i="15"/>
  <c r="B62" i="15"/>
  <c r="A62" i="15"/>
  <c r="C61" i="15"/>
  <c r="B61" i="15"/>
  <c r="A61" i="15"/>
  <c r="A60" i="15"/>
  <c r="M34" i="15"/>
  <c r="K34" i="15"/>
  <c r="J34" i="15"/>
  <c r="H34" i="15"/>
  <c r="E34" i="15"/>
  <c r="D32" i="15"/>
  <c r="L22" i="15"/>
  <c r="J22" i="15"/>
  <c r="I22" i="15"/>
  <c r="D22" i="15"/>
  <c r="L20" i="15"/>
  <c r="D20" i="15"/>
  <c r="L19" i="15"/>
  <c r="D19" i="15"/>
  <c r="P18" i="15"/>
  <c r="O18" i="15"/>
  <c r="L18" i="15"/>
  <c r="H18" i="15"/>
  <c r="G18" i="15"/>
  <c r="D18" i="15"/>
  <c r="O14" i="15"/>
  <c r="L14" i="15"/>
  <c r="G14" i="15"/>
  <c r="D14" i="15"/>
  <c r="O13" i="15"/>
  <c r="L13" i="15"/>
  <c r="G13" i="15"/>
  <c r="E13" i="15"/>
  <c r="D13" i="15"/>
  <c r="P12" i="15"/>
  <c r="O12" i="15"/>
  <c r="L12" i="15"/>
  <c r="H12" i="15"/>
  <c r="G12" i="15"/>
  <c r="D12" i="15"/>
  <c r="J5" i="15"/>
  <c r="H5" i="15"/>
  <c r="D5" i="15"/>
  <c r="A5" i="15"/>
  <c r="J4" i="15"/>
  <c r="H4" i="15"/>
  <c r="D4" i="15"/>
  <c r="A4" i="15"/>
  <c r="C92" i="14"/>
  <c r="B92" i="14"/>
  <c r="A92" i="14"/>
  <c r="C91" i="14"/>
  <c r="B91" i="14"/>
  <c r="A91" i="14"/>
  <c r="C90" i="14"/>
  <c r="B90" i="14"/>
  <c r="A90" i="14"/>
  <c r="C89" i="14"/>
  <c r="B89" i="14"/>
  <c r="A89" i="14"/>
  <c r="C88" i="14"/>
  <c r="B88" i="14"/>
  <c r="A88" i="14"/>
  <c r="C87" i="14"/>
  <c r="B87" i="14"/>
  <c r="A87" i="14"/>
  <c r="C86" i="14"/>
  <c r="B86" i="14"/>
  <c r="A86" i="14"/>
  <c r="C85" i="14"/>
  <c r="B85" i="14"/>
  <c r="A85" i="14"/>
  <c r="C84" i="14"/>
  <c r="B84" i="14"/>
  <c r="A84" i="14"/>
  <c r="C83" i="14"/>
  <c r="B83" i="14"/>
  <c r="A83" i="14"/>
  <c r="C82" i="14"/>
  <c r="B82" i="14"/>
  <c r="A82" i="14"/>
  <c r="C81" i="14"/>
  <c r="B81" i="14"/>
  <c r="A81" i="14"/>
  <c r="C80" i="14"/>
  <c r="B80" i="14"/>
  <c r="A80" i="14"/>
  <c r="C79" i="14"/>
  <c r="B79" i="14"/>
  <c r="A79" i="14"/>
  <c r="C78" i="14"/>
  <c r="B78" i="14"/>
  <c r="A78" i="14"/>
  <c r="C77" i="14"/>
  <c r="B77" i="14"/>
  <c r="A77" i="14"/>
  <c r="C76" i="14"/>
  <c r="B76" i="14"/>
  <c r="A76" i="14"/>
  <c r="C75" i="14"/>
  <c r="B75" i="14"/>
  <c r="A75" i="14"/>
  <c r="C74" i="14"/>
  <c r="B74" i="14"/>
  <c r="A74" i="14"/>
  <c r="C73" i="14"/>
  <c r="B73" i="14"/>
  <c r="A73" i="14"/>
  <c r="C72" i="14"/>
  <c r="B72" i="14"/>
  <c r="A72" i="14"/>
  <c r="C71" i="14"/>
  <c r="B71" i="14"/>
  <c r="A71" i="14"/>
  <c r="C70" i="14"/>
  <c r="B70" i="14"/>
  <c r="A70" i="14"/>
  <c r="C69" i="14"/>
  <c r="B69" i="14"/>
  <c r="A69" i="14"/>
  <c r="C68" i="14"/>
  <c r="B68" i="14"/>
  <c r="A68" i="14"/>
  <c r="C67" i="14"/>
  <c r="B67" i="14"/>
  <c r="A67" i="14"/>
  <c r="C66" i="14"/>
  <c r="B66" i="14"/>
  <c r="A66" i="14"/>
  <c r="C65" i="14"/>
  <c r="B65" i="14"/>
  <c r="A65" i="14"/>
  <c r="C64" i="14"/>
  <c r="B64" i="14"/>
  <c r="A64" i="14"/>
  <c r="C63" i="14"/>
  <c r="B63" i="14"/>
  <c r="A63" i="14"/>
  <c r="C62" i="14"/>
  <c r="B62" i="14"/>
  <c r="A62" i="14"/>
  <c r="C61" i="14"/>
  <c r="B61" i="14"/>
  <c r="A61" i="14"/>
  <c r="A60" i="14"/>
  <c r="M34" i="14"/>
  <c r="K34" i="14"/>
  <c r="J34" i="14"/>
  <c r="H34" i="14"/>
  <c r="E34" i="14"/>
  <c r="D32" i="14"/>
  <c r="L22" i="14"/>
  <c r="J22" i="14"/>
  <c r="I22" i="14"/>
  <c r="D22" i="14"/>
  <c r="L20" i="14"/>
  <c r="G20" i="14"/>
  <c r="E20" i="14"/>
  <c r="D20" i="14"/>
  <c r="L19" i="14"/>
  <c r="G19" i="14"/>
  <c r="D19" i="14"/>
  <c r="P18" i="14"/>
  <c r="O18" i="14"/>
  <c r="L18" i="14"/>
  <c r="H18" i="14"/>
  <c r="G18" i="14"/>
  <c r="D18" i="14"/>
  <c r="L14" i="14"/>
  <c r="D14" i="14"/>
  <c r="L13" i="14"/>
  <c r="D13" i="14"/>
  <c r="P12" i="14"/>
  <c r="O12" i="14"/>
  <c r="L12" i="14"/>
  <c r="H12" i="14"/>
  <c r="G12" i="14"/>
  <c r="D12" i="14"/>
  <c r="J5" i="14"/>
  <c r="H5" i="14"/>
  <c r="D5" i="14"/>
  <c r="A5" i="14"/>
  <c r="J4" i="14"/>
  <c r="H4" i="14"/>
  <c r="D4" i="14"/>
  <c r="A4" i="14"/>
  <c r="C92" i="13"/>
  <c r="B92" i="13"/>
  <c r="A92" i="13"/>
  <c r="C91" i="13"/>
  <c r="B91" i="13"/>
  <c r="A91" i="13"/>
  <c r="C90" i="13"/>
  <c r="B90" i="13"/>
  <c r="A90" i="13"/>
  <c r="C89" i="13"/>
  <c r="B89" i="13"/>
  <c r="A89" i="13"/>
  <c r="C88" i="13"/>
  <c r="B88" i="13"/>
  <c r="A88" i="13"/>
  <c r="C87" i="13"/>
  <c r="B87" i="13"/>
  <c r="A87" i="13"/>
  <c r="C86" i="13"/>
  <c r="B86" i="13"/>
  <c r="A86" i="13"/>
  <c r="C85" i="13"/>
  <c r="B85" i="13"/>
  <c r="A85" i="13"/>
  <c r="C84" i="13"/>
  <c r="B84" i="13"/>
  <c r="A84" i="13"/>
  <c r="C83" i="13"/>
  <c r="B83" i="13"/>
  <c r="A83" i="13"/>
  <c r="C82" i="13"/>
  <c r="B82" i="13"/>
  <c r="A82" i="13"/>
  <c r="C81" i="13"/>
  <c r="B81" i="13"/>
  <c r="A81" i="13"/>
  <c r="C80" i="13"/>
  <c r="B80" i="13"/>
  <c r="A80" i="13"/>
  <c r="C79" i="13"/>
  <c r="B79" i="13"/>
  <c r="A79" i="13"/>
  <c r="C78" i="13"/>
  <c r="B78" i="13"/>
  <c r="A78" i="13"/>
  <c r="C77" i="13"/>
  <c r="B77" i="13"/>
  <c r="A77" i="13"/>
  <c r="C76" i="13"/>
  <c r="B76" i="13"/>
  <c r="A76" i="13"/>
  <c r="C75" i="13"/>
  <c r="B75" i="13"/>
  <c r="A75" i="13"/>
  <c r="C74" i="13"/>
  <c r="B74" i="13"/>
  <c r="A74" i="13"/>
  <c r="C73" i="13"/>
  <c r="B73" i="13"/>
  <c r="A73" i="13"/>
  <c r="C72" i="13"/>
  <c r="B72" i="13"/>
  <c r="A72" i="13"/>
  <c r="C71" i="13"/>
  <c r="B71" i="13"/>
  <c r="A71" i="13"/>
  <c r="C70" i="13"/>
  <c r="B70" i="13"/>
  <c r="A70" i="13"/>
  <c r="C69" i="13"/>
  <c r="B69" i="13"/>
  <c r="A69" i="13"/>
  <c r="C68" i="13"/>
  <c r="B68" i="13"/>
  <c r="A68" i="13"/>
  <c r="C67" i="13"/>
  <c r="B67" i="13"/>
  <c r="A67" i="13"/>
  <c r="C66" i="13"/>
  <c r="B66" i="13"/>
  <c r="A66" i="13"/>
  <c r="C65" i="13"/>
  <c r="B65" i="13"/>
  <c r="A65" i="13"/>
  <c r="C64" i="13"/>
  <c r="B64" i="13"/>
  <c r="A64" i="13"/>
  <c r="C63" i="13"/>
  <c r="B63" i="13"/>
  <c r="A63" i="13"/>
  <c r="C62" i="13"/>
  <c r="B62" i="13"/>
  <c r="A62" i="13"/>
  <c r="C61" i="13"/>
  <c r="B61" i="13"/>
  <c r="A61" i="13"/>
  <c r="A60" i="13"/>
  <c r="J36" i="13"/>
  <c r="I36" i="13"/>
  <c r="D36" i="13"/>
  <c r="M34" i="13"/>
  <c r="K34" i="13"/>
  <c r="J34" i="13"/>
  <c r="H34" i="13"/>
  <c r="E34" i="13"/>
  <c r="D32" i="13"/>
  <c r="L22" i="13"/>
  <c r="J22" i="13"/>
  <c r="I22" i="13"/>
  <c r="D22" i="13"/>
  <c r="L20" i="13"/>
  <c r="D20" i="13"/>
  <c r="L19" i="13"/>
  <c r="D19" i="13"/>
  <c r="P18" i="13"/>
  <c r="O18" i="13"/>
  <c r="L18" i="13"/>
  <c r="H18" i="13"/>
  <c r="G18" i="13"/>
  <c r="D18" i="13"/>
  <c r="L14" i="13"/>
  <c r="D14" i="13"/>
  <c r="L13" i="13"/>
  <c r="D13" i="13"/>
  <c r="P12" i="13"/>
  <c r="O12" i="13"/>
  <c r="L12" i="13"/>
  <c r="H12" i="13"/>
  <c r="G12" i="13"/>
  <c r="D12" i="13"/>
  <c r="J5" i="13"/>
  <c r="H5" i="13"/>
  <c r="D5" i="13"/>
  <c r="A5" i="13"/>
  <c r="J4" i="13"/>
  <c r="H4" i="13"/>
  <c r="D4" i="13"/>
  <c r="A4" i="13"/>
  <c r="C92" i="12"/>
  <c r="B92" i="12"/>
  <c r="A92" i="12"/>
  <c r="C91" i="12"/>
  <c r="B91" i="12"/>
  <c r="A91" i="12"/>
  <c r="C90" i="12"/>
  <c r="B90" i="12"/>
  <c r="A90" i="12"/>
  <c r="C89" i="12"/>
  <c r="B89" i="12"/>
  <c r="A89" i="12"/>
  <c r="C88" i="12"/>
  <c r="B88" i="12"/>
  <c r="A88" i="12"/>
  <c r="C87" i="12"/>
  <c r="B87" i="12"/>
  <c r="A87" i="12"/>
  <c r="C86" i="12"/>
  <c r="B86" i="12"/>
  <c r="A86" i="12"/>
  <c r="C85" i="12"/>
  <c r="B85" i="12"/>
  <c r="A85" i="12"/>
  <c r="C84" i="12"/>
  <c r="B84" i="12"/>
  <c r="A84" i="12"/>
  <c r="C83" i="12"/>
  <c r="B83" i="12"/>
  <c r="A83" i="12"/>
  <c r="C82" i="12"/>
  <c r="B82" i="12"/>
  <c r="A82" i="12"/>
  <c r="C81" i="12"/>
  <c r="B81" i="12"/>
  <c r="A81" i="12"/>
  <c r="C80" i="12"/>
  <c r="B80" i="12"/>
  <c r="A80" i="12"/>
  <c r="C79" i="12"/>
  <c r="B79" i="12"/>
  <c r="A79" i="12"/>
  <c r="C78" i="12"/>
  <c r="B78" i="12"/>
  <c r="A78" i="12"/>
  <c r="C77" i="12"/>
  <c r="B77" i="12"/>
  <c r="A77" i="12"/>
  <c r="C76" i="12"/>
  <c r="B76" i="12"/>
  <c r="A76" i="12"/>
  <c r="C75" i="12"/>
  <c r="B75" i="12"/>
  <c r="A75" i="12"/>
  <c r="C74" i="12"/>
  <c r="B74" i="12"/>
  <c r="A74" i="12"/>
  <c r="C73" i="12"/>
  <c r="B73" i="12"/>
  <c r="A73" i="12"/>
  <c r="C72" i="12"/>
  <c r="B72" i="12"/>
  <c r="A72" i="12"/>
  <c r="C71" i="12"/>
  <c r="B71" i="12"/>
  <c r="A71" i="12"/>
  <c r="C70" i="12"/>
  <c r="B70" i="12"/>
  <c r="A70" i="12"/>
  <c r="C69" i="12"/>
  <c r="B69" i="12"/>
  <c r="A69" i="12"/>
  <c r="C68" i="12"/>
  <c r="B68" i="12"/>
  <c r="A68" i="12"/>
  <c r="C67" i="12"/>
  <c r="B67" i="12"/>
  <c r="A67" i="12"/>
  <c r="C66" i="12"/>
  <c r="B66" i="12"/>
  <c r="A66" i="12"/>
  <c r="C65" i="12"/>
  <c r="B65" i="12"/>
  <c r="A65" i="12"/>
  <c r="C64" i="12"/>
  <c r="B64" i="12"/>
  <c r="A64" i="12"/>
  <c r="C63" i="12"/>
  <c r="B63" i="12"/>
  <c r="A63" i="12"/>
  <c r="C62" i="12"/>
  <c r="B62" i="12"/>
  <c r="A62" i="12"/>
  <c r="C61" i="12"/>
  <c r="B61" i="12"/>
  <c r="A61" i="12"/>
  <c r="A60" i="12"/>
  <c r="S48" i="12"/>
  <c r="S47" i="12"/>
  <c r="S46" i="12"/>
  <c r="S45" i="12"/>
  <c r="S44" i="12"/>
  <c r="S43" i="12"/>
  <c r="S42" i="12"/>
  <c r="S41" i="12"/>
  <c r="S40" i="12"/>
  <c r="S39" i="12"/>
  <c r="M34" i="12"/>
  <c r="K34" i="12"/>
  <c r="J34" i="12"/>
  <c r="H34" i="12"/>
  <c r="E34" i="12"/>
  <c r="D32" i="12"/>
  <c r="L22" i="12"/>
  <c r="J22" i="12"/>
  <c r="I22" i="12"/>
  <c r="D22" i="12"/>
  <c r="L20" i="12"/>
  <c r="D20" i="12"/>
  <c r="L19" i="12"/>
  <c r="D19" i="12"/>
  <c r="P18" i="12"/>
  <c r="O18" i="12"/>
  <c r="L18" i="12"/>
  <c r="H18" i="12"/>
  <c r="G18" i="12"/>
  <c r="D18" i="12"/>
  <c r="L14" i="12"/>
  <c r="D14" i="12"/>
  <c r="L13" i="12"/>
  <c r="D13" i="12"/>
  <c r="P12" i="12"/>
  <c r="O12" i="12"/>
  <c r="L12" i="12"/>
  <c r="H12" i="12"/>
  <c r="G12" i="12"/>
  <c r="D12" i="12"/>
  <c r="J5" i="12"/>
  <c r="H5" i="12"/>
  <c r="D5" i="12"/>
  <c r="A5" i="12"/>
  <c r="J4" i="12"/>
  <c r="H4" i="12"/>
  <c r="D4" i="12"/>
  <c r="A4" i="12"/>
  <c r="C92" i="11"/>
  <c r="B92" i="11"/>
  <c r="A92" i="11"/>
  <c r="C91" i="11"/>
  <c r="B91" i="11"/>
  <c r="A91" i="11"/>
  <c r="C90" i="11"/>
  <c r="B90" i="11"/>
  <c r="A90" i="11"/>
  <c r="C89" i="11"/>
  <c r="B89" i="11"/>
  <c r="A89" i="11"/>
  <c r="C88" i="11"/>
  <c r="B88" i="11"/>
  <c r="A88" i="11"/>
  <c r="C87" i="11"/>
  <c r="B87" i="11"/>
  <c r="A87" i="11"/>
  <c r="C86" i="11"/>
  <c r="B86" i="11"/>
  <c r="A86" i="11"/>
  <c r="C85" i="11"/>
  <c r="B85" i="11"/>
  <c r="A85" i="11"/>
  <c r="C84" i="11"/>
  <c r="B84" i="11"/>
  <c r="A84" i="11"/>
  <c r="C83" i="11"/>
  <c r="B83" i="11"/>
  <c r="A83" i="11"/>
  <c r="C82" i="11"/>
  <c r="B82" i="11"/>
  <c r="A82" i="11"/>
  <c r="C81" i="11"/>
  <c r="B81" i="11"/>
  <c r="A81" i="11"/>
  <c r="C80" i="11"/>
  <c r="B80" i="11"/>
  <c r="A80" i="11"/>
  <c r="C79" i="11"/>
  <c r="B79" i="11"/>
  <c r="A79" i="11"/>
  <c r="C78" i="11"/>
  <c r="B78" i="11"/>
  <c r="A78" i="11"/>
  <c r="C77" i="11"/>
  <c r="B77" i="11"/>
  <c r="A77" i="11"/>
  <c r="C76" i="11"/>
  <c r="B76" i="11"/>
  <c r="A76" i="11"/>
  <c r="C75" i="11"/>
  <c r="B75" i="11"/>
  <c r="A75" i="11"/>
  <c r="C74" i="11"/>
  <c r="B74" i="11"/>
  <c r="A74" i="11"/>
  <c r="C73" i="11"/>
  <c r="B73" i="11"/>
  <c r="A73" i="11"/>
  <c r="C72" i="11"/>
  <c r="B72" i="11"/>
  <c r="A72" i="11"/>
  <c r="C71" i="11"/>
  <c r="B71" i="11"/>
  <c r="A71" i="11"/>
  <c r="C70" i="11"/>
  <c r="B70" i="11"/>
  <c r="A70" i="11"/>
  <c r="C69" i="11"/>
  <c r="B69" i="11"/>
  <c r="A69" i="11"/>
  <c r="C68" i="11"/>
  <c r="B68" i="11"/>
  <c r="A68" i="11"/>
  <c r="C67" i="11"/>
  <c r="B67" i="11"/>
  <c r="A67" i="11"/>
  <c r="C66" i="11"/>
  <c r="B66" i="11"/>
  <c r="A66" i="11"/>
  <c r="C65" i="11"/>
  <c r="B65" i="11"/>
  <c r="A65" i="11"/>
  <c r="C64" i="11"/>
  <c r="B64" i="11"/>
  <c r="A64" i="11"/>
  <c r="C63" i="11"/>
  <c r="B63" i="11"/>
  <c r="A63" i="11"/>
  <c r="C62" i="11"/>
  <c r="B62" i="11"/>
  <c r="A62" i="11"/>
  <c r="C61" i="11"/>
  <c r="B61" i="11"/>
  <c r="A61" i="11"/>
  <c r="A60" i="11"/>
  <c r="S57" i="11"/>
  <c r="S56" i="11"/>
  <c r="S55" i="11"/>
  <c r="S54" i="11"/>
  <c r="S53" i="11"/>
  <c r="S52" i="11"/>
  <c r="S51" i="11"/>
  <c r="S50" i="11"/>
  <c r="S49" i="11"/>
  <c r="S48" i="11"/>
  <c r="S47" i="11"/>
  <c r="S46" i="11"/>
  <c r="S45" i="11"/>
  <c r="S44" i="11"/>
  <c r="S43" i="11"/>
  <c r="S42" i="11"/>
  <c r="M34" i="11"/>
  <c r="K34" i="11"/>
  <c r="J34" i="11"/>
  <c r="H34" i="11"/>
  <c r="E34" i="11"/>
  <c r="D32" i="11"/>
  <c r="L22" i="11"/>
  <c r="J22" i="11"/>
  <c r="I22" i="11"/>
  <c r="D22" i="11"/>
  <c r="O20" i="11"/>
  <c r="L20" i="11"/>
  <c r="D20" i="11"/>
  <c r="O19" i="11"/>
  <c r="L19" i="11"/>
  <c r="D19" i="11"/>
  <c r="P18" i="11"/>
  <c r="L18" i="11"/>
  <c r="H18" i="11"/>
  <c r="G18" i="11"/>
  <c r="D18" i="11"/>
  <c r="O14" i="11"/>
  <c r="L14" i="11"/>
  <c r="D14" i="11"/>
  <c r="O13" i="11"/>
  <c r="M13" i="11"/>
  <c r="L13" i="11"/>
  <c r="D13" i="11"/>
  <c r="P12" i="11"/>
  <c r="L12" i="11"/>
  <c r="H12" i="11"/>
  <c r="G12" i="11"/>
  <c r="E12" i="11"/>
  <c r="D12" i="11"/>
  <c r="J5" i="11"/>
  <c r="H5" i="11"/>
  <c r="D5" i="11"/>
  <c r="A5" i="11"/>
  <c r="J4" i="11"/>
  <c r="H4" i="11"/>
  <c r="D4" i="11"/>
  <c r="A4" i="11"/>
  <c r="C92" i="10"/>
  <c r="B92" i="10"/>
  <c r="A92" i="10"/>
  <c r="C91" i="10"/>
  <c r="B91" i="10"/>
  <c r="A91" i="10"/>
  <c r="C90" i="10"/>
  <c r="B90" i="10"/>
  <c r="A90" i="10"/>
  <c r="C89" i="10"/>
  <c r="B89" i="10"/>
  <c r="A89" i="10"/>
  <c r="C88" i="10"/>
  <c r="B88" i="10"/>
  <c r="A88" i="10"/>
  <c r="C87" i="10"/>
  <c r="B87" i="10"/>
  <c r="A87" i="10"/>
  <c r="C86" i="10"/>
  <c r="B86" i="10"/>
  <c r="A86" i="10"/>
  <c r="C85" i="10"/>
  <c r="B85" i="10"/>
  <c r="A85" i="10"/>
  <c r="C84" i="10"/>
  <c r="B84" i="10"/>
  <c r="A84" i="10"/>
  <c r="C83" i="10"/>
  <c r="B83" i="10"/>
  <c r="A83" i="10"/>
  <c r="C82" i="10"/>
  <c r="B82" i="10"/>
  <c r="A82" i="10"/>
  <c r="C81" i="10"/>
  <c r="B81" i="10"/>
  <c r="A81" i="10"/>
  <c r="C80" i="10"/>
  <c r="B80" i="10"/>
  <c r="A80" i="10"/>
  <c r="C79" i="10"/>
  <c r="B79" i="10"/>
  <c r="A79" i="10"/>
  <c r="C78" i="10"/>
  <c r="B78" i="10"/>
  <c r="A78" i="10"/>
  <c r="C77" i="10"/>
  <c r="B77" i="10"/>
  <c r="A77" i="10"/>
  <c r="C76" i="10"/>
  <c r="B76" i="10"/>
  <c r="A76" i="10"/>
  <c r="C75" i="10"/>
  <c r="B75" i="10"/>
  <c r="A75" i="10"/>
  <c r="C74" i="10"/>
  <c r="B74" i="10"/>
  <c r="A74" i="10"/>
  <c r="C73" i="10"/>
  <c r="B73" i="10"/>
  <c r="A73" i="10"/>
  <c r="C72" i="10"/>
  <c r="B72" i="10"/>
  <c r="A72" i="10"/>
  <c r="C71" i="10"/>
  <c r="B71" i="10"/>
  <c r="A71" i="10"/>
  <c r="C70" i="10"/>
  <c r="B70" i="10"/>
  <c r="A70" i="10"/>
  <c r="C69" i="10"/>
  <c r="B69" i="10"/>
  <c r="A69" i="10"/>
  <c r="C68" i="10"/>
  <c r="B68" i="10"/>
  <c r="A68" i="10"/>
  <c r="C67" i="10"/>
  <c r="B67" i="10"/>
  <c r="A67" i="10"/>
  <c r="C66" i="10"/>
  <c r="B66" i="10"/>
  <c r="A66" i="10"/>
  <c r="C65" i="10"/>
  <c r="B65" i="10"/>
  <c r="A65" i="10"/>
  <c r="C64" i="10"/>
  <c r="B64" i="10"/>
  <c r="A64" i="10"/>
  <c r="C63" i="10"/>
  <c r="B63" i="10"/>
  <c r="A63" i="10"/>
  <c r="C62" i="10"/>
  <c r="B62" i="10"/>
  <c r="A62" i="10"/>
  <c r="C61" i="10"/>
  <c r="B61" i="10"/>
  <c r="A61" i="10"/>
  <c r="A60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M34" i="10"/>
  <c r="K34" i="10"/>
  <c r="J34" i="10"/>
  <c r="H34" i="10"/>
  <c r="E34" i="10"/>
  <c r="D32" i="10"/>
  <c r="L22" i="10"/>
  <c r="J22" i="10"/>
  <c r="I22" i="10"/>
  <c r="D22" i="10"/>
  <c r="L20" i="10"/>
  <c r="D20" i="10"/>
  <c r="L19" i="10"/>
  <c r="D19" i="10"/>
  <c r="P18" i="10"/>
  <c r="O18" i="10"/>
  <c r="L18" i="10"/>
  <c r="H18" i="10"/>
  <c r="G18" i="10"/>
  <c r="D18" i="10"/>
  <c r="L14" i="10"/>
  <c r="E14" i="10"/>
  <c r="D14" i="10"/>
  <c r="L13" i="10"/>
  <c r="D13" i="10"/>
  <c r="P12" i="10"/>
  <c r="O12" i="10"/>
  <c r="L12" i="10"/>
  <c r="H12" i="10"/>
  <c r="G12" i="10"/>
  <c r="D12" i="10"/>
  <c r="J5" i="10"/>
  <c r="H5" i="10"/>
  <c r="D5" i="10"/>
  <c r="A5" i="10"/>
  <c r="J4" i="10"/>
  <c r="H4" i="10"/>
  <c r="D4" i="10"/>
  <c r="A4" i="10"/>
  <c r="C92" i="9"/>
  <c r="B92" i="9"/>
  <c r="A92" i="9"/>
  <c r="C91" i="9"/>
  <c r="B91" i="9"/>
  <c r="A91" i="9"/>
  <c r="C90" i="9"/>
  <c r="B90" i="9"/>
  <c r="A90" i="9"/>
  <c r="C89" i="9"/>
  <c r="B89" i="9"/>
  <c r="A89" i="9"/>
  <c r="C88" i="9"/>
  <c r="B88" i="9"/>
  <c r="A88" i="9"/>
  <c r="C87" i="9"/>
  <c r="B87" i="9"/>
  <c r="A87" i="9"/>
  <c r="C86" i="9"/>
  <c r="B86" i="9"/>
  <c r="A86" i="9"/>
  <c r="C85" i="9"/>
  <c r="B85" i="9"/>
  <c r="A85" i="9"/>
  <c r="C84" i="9"/>
  <c r="B84" i="9"/>
  <c r="A84" i="9"/>
  <c r="C83" i="9"/>
  <c r="B83" i="9"/>
  <c r="A83" i="9"/>
  <c r="C82" i="9"/>
  <c r="B82" i="9"/>
  <c r="A82" i="9"/>
  <c r="C81" i="9"/>
  <c r="B81" i="9"/>
  <c r="A81" i="9"/>
  <c r="C80" i="9"/>
  <c r="B80" i="9"/>
  <c r="A80" i="9"/>
  <c r="C79" i="9"/>
  <c r="B79" i="9"/>
  <c r="A79" i="9"/>
  <c r="C78" i="9"/>
  <c r="B78" i="9"/>
  <c r="A78" i="9"/>
  <c r="C77" i="9"/>
  <c r="B77" i="9"/>
  <c r="A77" i="9"/>
  <c r="C76" i="9"/>
  <c r="B76" i="9"/>
  <c r="A76" i="9"/>
  <c r="C75" i="9"/>
  <c r="B75" i="9"/>
  <c r="A75" i="9"/>
  <c r="C74" i="9"/>
  <c r="B74" i="9"/>
  <c r="A74" i="9"/>
  <c r="C73" i="9"/>
  <c r="B73" i="9"/>
  <c r="A73" i="9"/>
  <c r="C72" i="9"/>
  <c r="B72" i="9"/>
  <c r="A72" i="9"/>
  <c r="C71" i="9"/>
  <c r="B71" i="9"/>
  <c r="A71" i="9"/>
  <c r="C70" i="9"/>
  <c r="B70" i="9"/>
  <c r="A70" i="9"/>
  <c r="C69" i="9"/>
  <c r="B69" i="9"/>
  <c r="A69" i="9"/>
  <c r="C68" i="9"/>
  <c r="B68" i="9"/>
  <c r="A68" i="9"/>
  <c r="C67" i="9"/>
  <c r="B67" i="9"/>
  <c r="A67" i="9"/>
  <c r="C66" i="9"/>
  <c r="B66" i="9"/>
  <c r="A66" i="9"/>
  <c r="C65" i="9"/>
  <c r="B65" i="9"/>
  <c r="A65" i="9"/>
  <c r="C64" i="9"/>
  <c r="B64" i="9"/>
  <c r="A64" i="9"/>
  <c r="C63" i="9"/>
  <c r="B63" i="9"/>
  <c r="A63" i="9"/>
  <c r="C62" i="9"/>
  <c r="B62" i="9"/>
  <c r="A62" i="9"/>
  <c r="C61" i="9"/>
  <c r="B61" i="9"/>
  <c r="A61" i="9"/>
  <c r="A60" i="9"/>
  <c r="T57" i="9"/>
  <c r="S57" i="9"/>
  <c r="R57" i="9"/>
  <c r="Q57" i="9"/>
  <c r="T56" i="9"/>
  <c r="S56" i="9"/>
  <c r="R56" i="9"/>
  <c r="Q56" i="9"/>
  <c r="T55" i="9"/>
  <c r="S55" i="9"/>
  <c r="R55" i="9"/>
  <c r="Q55" i="9"/>
  <c r="T54" i="9"/>
  <c r="S54" i="9"/>
  <c r="R54" i="9"/>
  <c r="Q54" i="9"/>
  <c r="T53" i="9"/>
  <c r="S53" i="9"/>
  <c r="R53" i="9"/>
  <c r="Q53" i="9"/>
  <c r="T52" i="9"/>
  <c r="S52" i="9"/>
  <c r="R52" i="9"/>
  <c r="Q52" i="9"/>
  <c r="T51" i="9"/>
  <c r="S51" i="9"/>
  <c r="R51" i="9"/>
  <c r="Q51" i="9"/>
  <c r="T50" i="9"/>
  <c r="S50" i="9"/>
  <c r="R50" i="9"/>
  <c r="Q50" i="9"/>
  <c r="T49" i="9"/>
  <c r="S49" i="9"/>
  <c r="R49" i="9"/>
  <c r="Q49" i="9"/>
  <c r="T48" i="9"/>
  <c r="S48" i="9"/>
  <c r="R48" i="9"/>
  <c r="Q48" i="9"/>
  <c r="T47" i="9"/>
  <c r="S47" i="9"/>
  <c r="R47" i="9"/>
  <c r="Q47" i="9"/>
  <c r="T46" i="9"/>
  <c r="M34" i="9"/>
  <c r="K34" i="9"/>
  <c r="J34" i="9"/>
  <c r="H34" i="9"/>
  <c r="E34" i="9"/>
  <c r="D32" i="9"/>
  <c r="L22" i="9"/>
  <c r="J22" i="9"/>
  <c r="I22" i="9"/>
  <c r="D22" i="9"/>
  <c r="L20" i="9"/>
  <c r="D20" i="9"/>
  <c r="L19" i="9"/>
  <c r="D19" i="9"/>
  <c r="P18" i="9"/>
  <c r="O18" i="9"/>
  <c r="L18" i="9"/>
  <c r="H18" i="9"/>
  <c r="G18" i="9"/>
  <c r="D18" i="9"/>
  <c r="L14" i="9"/>
  <c r="D14" i="9"/>
  <c r="L13" i="9"/>
  <c r="D13" i="9"/>
  <c r="P12" i="9"/>
  <c r="O12" i="9"/>
  <c r="L12" i="9"/>
  <c r="H12" i="9"/>
  <c r="G12" i="9"/>
  <c r="D12" i="9"/>
  <c r="J5" i="9"/>
  <c r="H5" i="9"/>
  <c r="D5" i="9"/>
  <c r="A5" i="9"/>
  <c r="J4" i="9"/>
  <c r="H4" i="9"/>
  <c r="D4" i="9"/>
  <c r="A4" i="9"/>
  <c r="C92" i="8"/>
  <c r="B92" i="8"/>
  <c r="A92" i="8"/>
  <c r="C91" i="8"/>
  <c r="B91" i="8"/>
  <c r="A91" i="8"/>
  <c r="C90" i="8"/>
  <c r="B90" i="8"/>
  <c r="A90" i="8"/>
  <c r="C89" i="8"/>
  <c r="B89" i="8"/>
  <c r="A89" i="8"/>
  <c r="C88" i="8"/>
  <c r="B88" i="8"/>
  <c r="A88" i="8"/>
  <c r="C87" i="8"/>
  <c r="B87" i="8"/>
  <c r="A87" i="8"/>
  <c r="C86" i="8"/>
  <c r="B86" i="8"/>
  <c r="A86" i="8"/>
  <c r="C85" i="8"/>
  <c r="B85" i="8"/>
  <c r="A85" i="8"/>
  <c r="C84" i="8"/>
  <c r="B84" i="8"/>
  <c r="A84" i="8"/>
  <c r="C83" i="8"/>
  <c r="B83" i="8"/>
  <c r="A83" i="8"/>
  <c r="C82" i="8"/>
  <c r="B82" i="8"/>
  <c r="A82" i="8"/>
  <c r="C81" i="8"/>
  <c r="B81" i="8"/>
  <c r="A81" i="8"/>
  <c r="C80" i="8"/>
  <c r="B80" i="8"/>
  <c r="A80" i="8"/>
  <c r="C79" i="8"/>
  <c r="B79" i="8"/>
  <c r="A79" i="8"/>
  <c r="C78" i="8"/>
  <c r="B78" i="8"/>
  <c r="A78" i="8"/>
  <c r="C77" i="8"/>
  <c r="B77" i="8"/>
  <c r="A77" i="8"/>
  <c r="C76" i="8"/>
  <c r="B76" i="8"/>
  <c r="A76" i="8"/>
  <c r="C75" i="8"/>
  <c r="B75" i="8"/>
  <c r="A75" i="8"/>
  <c r="C74" i="8"/>
  <c r="B74" i="8"/>
  <c r="A74" i="8"/>
  <c r="C73" i="8"/>
  <c r="B73" i="8"/>
  <c r="A73" i="8"/>
  <c r="C72" i="8"/>
  <c r="B72" i="8"/>
  <c r="A72" i="8"/>
  <c r="C71" i="8"/>
  <c r="B71" i="8"/>
  <c r="A71" i="8"/>
  <c r="C70" i="8"/>
  <c r="B70" i="8"/>
  <c r="A70" i="8"/>
  <c r="C69" i="8"/>
  <c r="B69" i="8"/>
  <c r="A69" i="8"/>
  <c r="C68" i="8"/>
  <c r="B68" i="8"/>
  <c r="A68" i="8"/>
  <c r="C67" i="8"/>
  <c r="B67" i="8"/>
  <c r="A67" i="8"/>
  <c r="C66" i="8"/>
  <c r="B66" i="8"/>
  <c r="A66" i="8"/>
  <c r="C65" i="8"/>
  <c r="B65" i="8"/>
  <c r="A65" i="8"/>
  <c r="C64" i="8"/>
  <c r="B64" i="8"/>
  <c r="A64" i="8"/>
  <c r="C63" i="8"/>
  <c r="B63" i="8"/>
  <c r="A63" i="8"/>
  <c r="C62" i="8"/>
  <c r="B62" i="8"/>
  <c r="A62" i="8"/>
  <c r="C61" i="8"/>
  <c r="B61" i="8"/>
  <c r="A61" i="8"/>
  <c r="A60" i="8"/>
  <c r="T57" i="8"/>
  <c r="S57" i="8"/>
  <c r="R57" i="8"/>
  <c r="Q57" i="8"/>
  <c r="T56" i="8"/>
  <c r="S56" i="8"/>
  <c r="R56" i="8"/>
  <c r="Q56" i="8"/>
  <c r="T55" i="8"/>
  <c r="S55" i="8"/>
  <c r="R55" i="8"/>
  <c r="Q55" i="8"/>
  <c r="T54" i="8"/>
  <c r="S54" i="8"/>
  <c r="R54" i="8"/>
  <c r="Q54" i="8"/>
  <c r="T53" i="8"/>
  <c r="S53" i="8"/>
  <c r="R53" i="8"/>
  <c r="Q53" i="8"/>
  <c r="T52" i="8"/>
  <c r="S52" i="8"/>
  <c r="R52" i="8"/>
  <c r="Q52" i="8"/>
  <c r="T51" i="8"/>
  <c r="S51" i="8"/>
  <c r="R51" i="8"/>
  <c r="Q51" i="8"/>
  <c r="T50" i="8"/>
  <c r="S50" i="8"/>
  <c r="R50" i="8"/>
  <c r="Q50" i="8"/>
  <c r="T49" i="8"/>
  <c r="S49" i="8"/>
  <c r="R49" i="8"/>
  <c r="M34" i="8"/>
  <c r="K34" i="8"/>
  <c r="J34" i="8"/>
  <c r="H34" i="8"/>
  <c r="E34" i="8"/>
  <c r="D32" i="8"/>
  <c r="L22" i="8"/>
  <c r="J22" i="8"/>
  <c r="I22" i="8"/>
  <c r="D22" i="8"/>
  <c r="L20" i="8"/>
  <c r="D20" i="8"/>
  <c r="L19" i="8"/>
  <c r="D19" i="8"/>
  <c r="P18" i="8"/>
  <c r="O18" i="8"/>
  <c r="L18" i="8"/>
  <c r="H18" i="8"/>
  <c r="G18" i="8"/>
  <c r="D18" i="8"/>
  <c r="L14" i="8"/>
  <c r="D14" i="8"/>
  <c r="L13" i="8"/>
  <c r="D13" i="8"/>
  <c r="P12" i="8"/>
  <c r="O12" i="8"/>
  <c r="L12" i="8"/>
  <c r="H12" i="8"/>
  <c r="G12" i="8"/>
  <c r="D12" i="8"/>
  <c r="J5" i="8"/>
  <c r="H5" i="8"/>
  <c r="D5" i="8"/>
  <c r="A5" i="8"/>
  <c r="J4" i="8"/>
  <c r="H4" i="8"/>
  <c r="D4" i="8"/>
  <c r="A4" i="8"/>
  <c r="C92" i="7"/>
  <c r="B92" i="7"/>
  <c r="A92" i="7"/>
  <c r="C91" i="7"/>
  <c r="B91" i="7"/>
  <c r="A91" i="7"/>
  <c r="C90" i="7"/>
  <c r="B90" i="7"/>
  <c r="A90" i="7"/>
  <c r="C89" i="7"/>
  <c r="B89" i="7"/>
  <c r="A89" i="7"/>
  <c r="C88" i="7"/>
  <c r="B88" i="7"/>
  <c r="A88" i="7"/>
  <c r="C87" i="7"/>
  <c r="B87" i="7"/>
  <c r="A87" i="7"/>
  <c r="C86" i="7"/>
  <c r="B86" i="7"/>
  <c r="A86" i="7"/>
  <c r="C85" i="7"/>
  <c r="B85" i="7"/>
  <c r="A85" i="7"/>
  <c r="C84" i="7"/>
  <c r="B84" i="7"/>
  <c r="A84" i="7"/>
  <c r="C83" i="7"/>
  <c r="B83" i="7"/>
  <c r="A83" i="7"/>
  <c r="C82" i="7"/>
  <c r="B82" i="7"/>
  <c r="A82" i="7"/>
  <c r="C81" i="7"/>
  <c r="B81" i="7"/>
  <c r="A81" i="7"/>
  <c r="C80" i="7"/>
  <c r="B80" i="7"/>
  <c r="A80" i="7"/>
  <c r="C79" i="7"/>
  <c r="B79" i="7"/>
  <c r="A79" i="7"/>
  <c r="C78" i="7"/>
  <c r="B78" i="7"/>
  <c r="A78" i="7"/>
  <c r="C77" i="7"/>
  <c r="B77" i="7"/>
  <c r="A77" i="7"/>
  <c r="C76" i="7"/>
  <c r="B76" i="7"/>
  <c r="A76" i="7"/>
  <c r="C75" i="7"/>
  <c r="B75" i="7"/>
  <c r="A75" i="7"/>
  <c r="C74" i="7"/>
  <c r="B74" i="7"/>
  <c r="A74" i="7"/>
  <c r="C73" i="7"/>
  <c r="B73" i="7"/>
  <c r="A73" i="7"/>
  <c r="C72" i="7"/>
  <c r="B72" i="7"/>
  <c r="A72" i="7"/>
  <c r="C71" i="7"/>
  <c r="B71" i="7"/>
  <c r="A71" i="7"/>
  <c r="C70" i="7"/>
  <c r="B70" i="7"/>
  <c r="A70" i="7"/>
  <c r="C69" i="7"/>
  <c r="B69" i="7"/>
  <c r="A69" i="7"/>
  <c r="C68" i="7"/>
  <c r="B68" i="7"/>
  <c r="A68" i="7"/>
  <c r="C67" i="7"/>
  <c r="B67" i="7"/>
  <c r="A67" i="7"/>
  <c r="C66" i="7"/>
  <c r="B66" i="7"/>
  <c r="A66" i="7"/>
  <c r="C65" i="7"/>
  <c r="B65" i="7"/>
  <c r="A65" i="7"/>
  <c r="C64" i="7"/>
  <c r="B64" i="7"/>
  <c r="A64" i="7"/>
  <c r="C63" i="7"/>
  <c r="B63" i="7"/>
  <c r="A63" i="7"/>
  <c r="C62" i="7"/>
  <c r="B62" i="7"/>
  <c r="A62" i="7"/>
  <c r="C61" i="7"/>
  <c r="B61" i="7"/>
  <c r="A61" i="7"/>
  <c r="A60" i="7"/>
  <c r="T57" i="7"/>
  <c r="S57" i="7"/>
  <c r="R57" i="7"/>
  <c r="Q57" i="7"/>
  <c r="T56" i="7"/>
  <c r="S56" i="7"/>
  <c r="R56" i="7"/>
  <c r="Q56" i="7"/>
  <c r="T55" i="7"/>
  <c r="S55" i="7"/>
  <c r="R55" i="7"/>
  <c r="Q55" i="7"/>
  <c r="T54" i="7"/>
  <c r="S54" i="7"/>
  <c r="R54" i="7"/>
  <c r="Q54" i="7"/>
  <c r="T53" i="7"/>
  <c r="S53" i="7"/>
  <c r="R53" i="7"/>
  <c r="Q53" i="7"/>
  <c r="T52" i="7"/>
  <c r="S52" i="7"/>
  <c r="R52" i="7"/>
  <c r="Q52" i="7"/>
  <c r="M34" i="7"/>
  <c r="K34" i="7"/>
  <c r="J34" i="7"/>
  <c r="H34" i="7"/>
  <c r="E34" i="7"/>
  <c r="D32" i="7"/>
  <c r="L22" i="7"/>
  <c r="J22" i="7"/>
  <c r="I22" i="7"/>
  <c r="D22" i="7"/>
  <c r="L20" i="7"/>
  <c r="D20" i="7"/>
  <c r="L19" i="7"/>
  <c r="D19" i="7"/>
  <c r="P18" i="7"/>
  <c r="O18" i="7"/>
  <c r="L18" i="7"/>
  <c r="H18" i="7"/>
  <c r="G18" i="7"/>
  <c r="D18" i="7"/>
  <c r="L14" i="7"/>
  <c r="D14" i="7"/>
  <c r="L13" i="7"/>
  <c r="D13" i="7"/>
  <c r="P12" i="7"/>
  <c r="O12" i="7"/>
  <c r="L12" i="7"/>
  <c r="H12" i="7"/>
  <c r="G12" i="7"/>
  <c r="D12" i="7"/>
  <c r="J5" i="7"/>
  <c r="H5" i="7"/>
  <c r="D5" i="7"/>
  <c r="A5" i="7"/>
  <c r="J4" i="7"/>
  <c r="H4" i="7"/>
  <c r="D4" i="7"/>
  <c r="A4" i="7"/>
  <c r="C92" i="6"/>
  <c r="B92" i="6"/>
  <c r="A92" i="6"/>
  <c r="C91" i="6"/>
  <c r="B91" i="6"/>
  <c r="A91" i="6"/>
  <c r="C90" i="6"/>
  <c r="B90" i="6"/>
  <c r="A90" i="6"/>
  <c r="C89" i="6"/>
  <c r="B89" i="6"/>
  <c r="A89" i="6"/>
  <c r="C88" i="6"/>
  <c r="B88" i="6"/>
  <c r="A88" i="6"/>
  <c r="C87" i="6"/>
  <c r="B87" i="6"/>
  <c r="A87" i="6"/>
  <c r="C86" i="6"/>
  <c r="B86" i="6"/>
  <c r="A86" i="6"/>
  <c r="C85" i="6"/>
  <c r="B85" i="6"/>
  <c r="A85" i="6"/>
  <c r="C84" i="6"/>
  <c r="B84" i="6"/>
  <c r="A84" i="6"/>
  <c r="C83" i="6"/>
  <c r="B83" i="6"/>
  <c r="A83" i="6"/>
  <c r="C82" i="6"/>
  <c r="B82" i="6"/>
  <c r="A82" i="6"/>
  <c r="C81" i="6"/>
  <c r="B81" i="6"/>
  <c r="A81" i="6"/>
  <c r="C80" i="6"/>
  <c r="B80" i="6"/>
  <c r="A80" i="6"/>
  <c r="C79" i="6"/>
  <c r="B79" i="6"/>
  <c r="A79" i="6"/>
  <c r="C78" i="6"/>
  <c r="B78" i="6"/>
  <c r="A78" i="6"/>
  <c r="C77" i="6"/>
  <c r="B77" i="6"/>
  <c r="A77" i="6"/>
  <c r="C76" i="6"/>
  <c r="B76" i="6"/>
  <c r="A76" i="6"/>
  <c r="C75" i="6"/>
  <c r="B75" i="6"/>
  <c r="A75" i="6"/>
  <c r="C74" i="6"/>
  <c r="B74" i="6"/>
  <c r="A74" i="6"/>
  <c r="C73" i="6"/>
  <c r="B73" i="6"/>
  <c r="A73" i="6"/>
  <c r="C72" i="6"/>
  <c r="B72" i="6"/>
  <c r="A72" i="6"/>
  <c r="C71" i="6"/>
  <c r="B71" i="6"/>
  <c r="A71" i="6"/>
  <c r="C70" i="6"/>
  <c r="B70" i="6"/>
  <c r="A70" i="6"/>
  <c r="C69" i="6"/>
  <c r="B69" i="6"/>
  <c r="A69" i="6"/>
  <c r="C68" i="6"/>
  <c r="B68" i="6"/>
  <c r="A68" i="6"/>
  <c r="C67" i="6"/>
  <c r="B67" i="6"/>
  <c r="A67" i="6"/>
  <c r="C66" i="6"/>
  <c r="B66" i="6"/>
  <c r="A66" i="6"/>
  <c r="C65" i="6"/>
  <c r="B65" i="6"/>
  <c r="A65" i="6"/>
  <c r="C64" i="6"/>
  <c r="B64" i="6"/>
  <c r="A64" i="6"/>
  <c r="C63" i="6"/>
  <c r="B63" i="6"/>
  <c r="A63" i="6"/>
  <c r="C62" i="6"/>
  <c r="B62" i="6"/>
  <c r="A62" i="6"/>
  <c r="C61" i="6"/>
  <c r="B61" i="6"/>
  <c r="A61" i="6"/>
  <c r="A60" i="6"/>
  <c r="T57" i="6"/>
  <c r="S57" i="6"/>
  <c r="R57" i="6"/>
  <c r="Q57" i="6"/>
  <c r="T56" i="6"/>
  <c r="S56" i="6"/>
  <c r="R56" i="6"/>
  <c r="Q56" i="6"/>
  <c r="T55" i="6"/>
  <c r="S55" i="6"/>
  <c r="R55" i="6"/>
  <c r="Q55" i="6"/>
  <c r="M34" i="6"/>
  <c r="K34" i="6"/>
  <c r="J34" i="6"/>
  <c r="H34" i="6"/>
  <c r="E34" i="6"/>
  <c r="D32" i="6"/>
  <c r="L22" i="6"/>
  <c r="J22" i="6"/>
  <c r="I22" i="6"/>
  <c r="D22" i="6"/>
  <c r="L20" i="6"/>
  <c r="D20" i="6"/>
  <c r="L19" i="6"/>
  <c r="D19" i="6"/>
  <c r="P18" i="6"/>
  <c r="O18" i="6"/>
  <c r="L18" i="6"/>
  <c r="H18" i="6"/>
  <c r="G18" i="6"/>
  <c r="D18" i="6"/>
  <c r="L14" i="6"/>
  <c r="D14" i="6"/>
  <c r="L13" i="6"/>
  <c r="D13" i="6"/>
  <c r="P12" i="6"/>
  <c r="O12" i="6"/>
  <c r="L12" i="6"/>
  <c r="H12" i="6"/>
  <c r="G12" i="6"/>
  <c r="D12" i="6"/>
  <c r="J5" i="6"/>
  <c r="H5" i="6"/>
  <c r="D5" i="6"/>
  <c r="A5" i="6"/>
  <c r="J4" i="6"/>
  <c r="H4" i="6"/>
  <c r="D4" i="6"/>
  <c r="A4" i="6"/>
  <c r="C92" i="5"/>
  <c r="B92" i="5"/>
  <c r="A92" i="5"/>
  <c r="C91" i="5"/>
  <c r="B91" i="5"/>
  <c r="A91" i="5"/>
  <c r="C90" i="5"/>
  <c r="B90" i="5"/>
  <c r="A90" i="5"/>
  <c r="C89" i="5"/>
  <c r="B89" i="5"/>
  <c r="A89" i="5"/>
  <c r="C88" i="5"/>
  <c r="B88" i="5"/>
  <c r="A88" i="5"/>
  <c r="C87" i="5"/>
  <c r="B87" i="5"/>
  <c r="A87" i="5"/>
  <c r="C86" i="5"/>
  <c r="B86" i="5"/>
  <c r="A86" i="5"/>
  <c r="C85" i="5"/>
  <c r="B85" i="5"/>
  <c r="A85" i="5"/>
  <c r="C84" i="5"/>
  <c r="B84" i="5"/>
  <c r="A84" i="5"/>
  <c r="C83" i="5"/>
  <c r="B83" i="5"/>
  <c r="A83" i="5"/>
  <c r="C82" i="5"/>
  <c r="B82" i="5"/>
  <c r="A82" i="5"/>
  <c r="C81" i="5"/>
  <c r="B81" i="5"/>
  <c r="A81" i="5"/>
  <c r="C80" i="5"/>
  <c r="B80" i="5"/>
  <c r="A80" i="5"/>
  <c r="C79" i="5"/>
  <c r="B79" i="5"/>
  <c r="A79" i="5"/>
  <c r="C78" i="5"/>
  <c r="B78" i="5"/>
  <c r="A78" i="5"/>
  <c r="C77" i="5"/>
  <c r="B77" i="5"/>
  <c r="A77" i="5"/>
  <c r="C76" i="5"/>
  <c r="B76" i="5"/>
  <c r="A76" i="5"/>
  <c r="C75" i="5"/>
  <c r="B75" i="5"/>
  <c r="A75" i="5"/>
  <c r="C74" i="5"/>
  <c r="B74" i="5"/>
  <c r="A74" i="5"/>
  <c r="C73" i="5"/>
  <c r="B73" i="5"/>
  <c r="A73" i="5"/>
  <c r="C72" i="5"/>
  <c r="B72" i="5"/>
  <c r="A72" i="5"/>
  <c r="C71" i="5"/>
  <c r="B71" i="5"/>
  <c r="A71" i="5"/>
  <c r="C70" i="5"/>
  <c r="B70" i="5"/>
  <c r="A70" i="5"/>
  <c r="C69" i="5"/>
  <c r="B69" i="5"/>
  <c r="A69" i="5"/>
  <c r="C68" i="5"/>
  <c r="B68" i="5"/>
  <c r="A68" i="5"/>
  <c r="C67" i="5"/>
  <c r="B67" i="5"/>
  <c r="A67" i="5"/>
  <c r="C66" i="5"/>
  <c r="B66" i="5"/>
  <c r="A66" i="5"/>
  <c r="C65" i="5"/>
  <c r="B65" i="5"/>
  <c r="A65" i="5"/>
  <c r="C64" i="5"/>
  <c r="B64" i="5"/>
  <c r="A64" i="5"/>
  <c r="C63" i="5"/>
  <c r="B63" i="5"/>
  <c r="A63" i="5"/>
  <c r="C62" i="5"/>
  <c r="B62" i="5"/>
  <c r="A62" i="5"/>
  <c r="C61" i="5"/>
  <c r="B61" i="5"/>
  <c r="A61" i="5"/>
  <c r="A60" i="5"/>
  <c r="S57" i="5"/>
  <c r="M34" i="5"/>
  <c r="K34" i="5"/>
  <c r="J34" i="5"/>
  <c r="H34" i="5"/>
  <c r="E34" i="5"/>
  <c r="D32" i="5"/>
  <c r="L22" i="5"/>
  <c r="J22" i="5"/>
  <c r="I22" i="5"/>
  <c r="D22" i="5"/>
  <c r="L20" i="5"/>
  <c r="D20" i="5"/>
  <c r="L19" i="5"/>
  <c r="D19" i="5"/>
  <c r="P18" i="5"/>
  <c r="O18" i="5"/>
  <c r="L18" i="5"/>
  <c r="H18" i="5"/>
  <c r="G18" i="5"/>
  <c r="D18" i="5"/>
  <c r="L14" i="5"/>
  <c r="D14" i="5"/>
  <c r="L13" i="5"/>
  <c r="D13" i="5"/>
  <c r="P12" i="5"/>
  <c r="O12" i="5"/>
  <c r="L12" i="5"/>
  <c r="H12" i="5"/>
  <c r="G12" i="5"/>
  <c r="D12" i="5"/>
  <c r="J5" i="5"/>
  <c r="H5" i="5"/>
  <c r="D5" i="5"/>
  <c r="A5" i="5"/>
  <c r="J4" i="5"/>
  <c r="H4" i="5"/>
  <c r="D4" i="5"/>
  <c r="A4" i="5"/>
  <c r="C92" i="4"/>
  <c r="B92" i="4"/>
  <c r="A92" i="4"/>
  <c r="C91" i="4"/>
  <c r="B91" i="4"/>
  <c r="A91" i="4"/>
  <c r="C90" i="4"/>
  <c r="B90" i="4"/>
  <c r="A90" i="4"/>
  <c r="C89" i="4"/>
  <c r="B89" i="4"/>
  <c r="A89" i="4"/>
  <c r="C88" i="4"/>
  <c r="B88" i="4"/>
  <c r="A88" i="4"/>
  <c r="C87" i="4"/>
  <c r="B87" i="4"/>
  <c r="A87" i="4"/>
  <c r="C86" i="4"/>
  <c r="B86" i="4"/>
  <c r="A86" i="4"/>
  <c r="C85" i="4"/>
  <c r="B85" i="4"/>
  <c r="A85" i="4"/>
  <c r="C84" i="4"/>
  <c r="B84" i="4"/>
  <c r="A84" i="4"/>
  <c r="C83" i="4"/>
  <c r="B83" i="4"/>
  <c r="A83" i="4"/>
  <c r="C82" i="4"/>
  <c r="B82" i="4"/>
  <c r="A82" i="4"/>
  <c r="C81" i="4"/>
  <c r="B81" i="4"/>
  <c r="A81" i="4"/>
  <c r="C80" i="4"/>
  <c r="B80" i="4"/>
  <c r="A80" i="4"/>
  <c r="C79" i="4"/>
  <c r="B79" i="4"/>
  <c r="A79" i="4"/>
  <c r="C78" i="4"/>
  <c r="B78" i="4"/>
  <c r="A78" i="4"/>
  <c r="C77" i="4"/>
  <c r="B77" i="4"/>
  <c r="A77" i="4"/>
  <c r="C76" i="4"/>
  <c r="B76" i="4"/>
  <c r="A76" i="4"/>
  <c r="C75" i="4"/>
  <c r="B75" i="4"/>
  <c r="A75" i="4"/>
  <c r="C74" i="4"/>
  <c r="B74" i="4"/>
  <c r="A74" i="4"/>
  <c r="C73" i="4"/>
  <c r="B73" i="4"/>
  <c r="A73" i="4"/>
  <c r="C72" i="4"/>
  <c r="B72" i="4"/>
  <c r="A72" i="4"/>
  <c r="C71" i="4"/>
  <c r="B71" i="4"/>
  <c r="A71" i="4"/>
  <c r="C70" i="4"/>
  <c r="B70" i="4"/>
  <c r="A70" i="4"/>
  <c r="C69" i="4"/>
  <c r="B69" i="4"/>
  <c r="A69" i="4"/>
  <c r="C68" i="4"/>
  <c r="B68" i="4"/>
  <c r="A68" i="4"/>
  <c r="C67" i="4"/>
  <c r="B67" i="4"/>
  <c r="A67" i="4"/>
  <c r="C66" i="4"/>
  <c r="B66" i="4"/>
  <c r="A66" i="4"/>
  <c r="C65" i="4"/>
  <c r="B65" i="4"/>
  <c r="A65" i="4"/>
  <c r="C64" i="4"/>
  <c r="B64" i="4"/>
  <c r="A64" i="4"/>
  <c r="C63" i="4"/>
  <c r="B63" i="4"/>
  <c r="A63" i="4"/>
  <c r="C62" i="4"/>
  <c r="B62" i="4"/>
  <c r="A62" i="4"/>
  <c r="C61" i="4"/>
  <c r="B61" i="4"/>
  <c r="A61" i="4"/>
  <c r="A60" i="4"/>
  <c r="M34" i="4"/>
  <c r="K34" i="4"/>
  <c r="J34" i="4"/>
  <c r="H34" i="4"/>
  <c r="E34" i="4"/>
  <c r="D32" i="4"/>
  <c r="L22" i="4"/>
  <c r="J22" i="4"/>
  <c r="I22" i="4"/>
  <c r="D22" i="4"/>
  <c r="L20" i="4"/>
  <c r="D20" i="4"/>
  <c r="L19" i="4"/>
  <c r="D19" i="4"/>
  <c r="P18" i="4"/>
  <c r="O18" i="4"/>
  <c r="L18" i="4"/>
  <c r="H18" i="4"/>
  <c r="G18" i="4"/>
  <c r="D18" i="4"/>
  <c r="L14" i="4"/>
  <c r="D14" i="4"/>
  <c r="L13" i="4"/>
  <c r="D13" i="4"/>
  <c r="P12" i="4"/>
  <c r="O12" i="4"/>
  <c r="L12" i="4"/>
  <c r="H12" i="4"/>
  <c r="G12" i="4"/>
  <c r="D12" i="4"/>
  <c r="J5" i="4"/>
  <c r="H5" i="4"/>
  <c r="D5" i="4"/>
  <c r="A5" i="4"/>
  <c r="J4" i="4"/>
  <c r="H4" i="4"/>
  <c r="D4" i="4"/>
  <c r="A4" i="4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A60" i="3"/>
  <c r="M34" i="3"/>
  <c r="K34" i="3"/>
  <c r="J34" i="3"/>
  <c r="H34" i="3"/>
  <c r="E34" i="3"/>
  <c r="D32" i="3"/>
  <c r="L22" i="3"/>
  <c r="J22" i="3"/>
  <c r="I22" i="3"/>
  <c r="D22" i="3"/>
  <c r="L20" i="3"/>
  <c r="D20" i="3"/>
  <c r="L19" i="3"/>
  <c r="D19" i="3"/>
  <c r="P18" i="3"/>
  <c r="O18" i="3"/>
  <c r="L18" i="3"/>
  <c r="H18" i="3"/>
  <c r="G18" i="3"/>
  <c r="D18" i="3"/>
  <c r="L14" i="3"/>
  <c r="D14" i="3"/>
  <c r="L13" i="3"/>
  <c r="D13" i="3"/>
  <c r="P12" i="3"/>
  <c r="O12" i="3"/>
  <c r="L12" i="3"/>
  <c r="H12" i="3"/>
  <c r="G12" i="3"/>
  <c r="D12" i="3"/>
  <c r="J5" i="3"/>
  <c r="H5" i="3"/>
  <c r="D5" i="3"/>
  <c r="A5" i="3"/>
  <c r="J4" i="3"/>
  <c r="H4" i="3"/>
  <c r="D4" i="3"/>
  <c r="A4" i="3"/>
  <c r="M34" i="2"/>
  <c r="H34" i="2"/>
  <c r="E34" i="2"/>
  <c r="D32" i="2"/>
  <c r="L22" i="2"/>
  <c r="J22" i="2"/>
  <c r="I22" i="2"/>
  <c r="D22" i="2"/>
  <c r="L20" i="2"/>
  <c r="D20" i="2"/>
  <c r="L19" i="2"/>
  <c r="D19" i="2"/>
  <c r="P18" i="2"/>
  <c r="O18" i="2"/>
  <c r="L18" i="2"/>
  <c r="H18" i="2"/>
  <c r="G18" i="2"/>
  <c r="D18" i="2"/>
  <c r="L14" i="2"/>
  <c r="D14" i="2"/>
  <c r="L13" i="2"/>
  <c r="D13" i="2"/>
  <c r="P12" i="2"/>
  <c r="O12" i="2"/>
  <c r="L12" i="2"/>
  <c r="H12" i="2"/>
  <c r="G12" i="2"/>
  <c r="D12" i="2"/>
  <c r="Q23" i="1"/>
  <c r="C23" i="1"/>
  <c r="B23" i="1"/>
  <c r="A23" i="1"/>
  <c r="C22" i="1"/>
  <c r="B22" i="1"/>
  <c r="A22" i="1"/>
  <c r="C21" i="1"/>
  <c r="B21" i="1"/>
  <c r="A21" i="1"/>
  <c r="C20" i="1"/>
  <c r="B20" i="1"/>
  <c r="A20" i="1"/>
  <c r="C19" i="1"/>
  <c r="B19" i="1"/>
  <c r="A19" i="1"/>
  <c r="C18" i="1"/>
  <c r="B18" i="1"/>
  <c r="A18" i="1"/>
  <c r="C17" i="1"/>
  <c r="B17" i="1"/>
  <c r="A17" i="1"/>
  <c r="C16" i="1"/>
  <c r="B16" i="1"/>
  <c r="A16" i="1"/>
  <c r="C15" i="1"/>
  <c r="B15" i="1"/>
  <c r="A15" i="1"/>
  <c r="C14" i="1"/>
  <c r="B14" i="1"/>
  <c r="A14" i="1"/>
  <c r="Q13" i="1"/>
  <c r="C13" i="1"/>
  <c r="B13" i="1"/>
  <c r="A13" i="1"/>
  <c r="C12" i="1"/>
  <c r="B12" i="1"/>
  <c r="A12" i="1"/>
  <c r="C11" i="1"/>
  <c r="B11" i="1"/>
  <c r="A11" i="1"/>
  <c r="C10" i="1"/>
  <c r="B10" i="1"/>
  <c r="A10" i="1"/>
  <c r="C9" i="1"/>
  <c r="B9" i="1"/>
  <c r="A9" i="1"/>
  <c r="C8" i="1"/>
  <c r="B8" i="1"/>
  <c r="A8" i="1"/>
  <c r="C7" i="1"/>
  <c r="B7" i="1"/>
  <c r="A7" i="1"/>
  <c r="C6" i="1"/>
  <c r="B6" i="1"/>
  <c r="A6" i="1"/>
  <c r="C5" i="1"/>
  <c r="B5" i="1"/>
  <c r="A5" i="1"/>
  <c r="C4" i="1"/>
  <c r="B4" i="1"/>
  <c r="A4" i="1"/>
  <c r="M2" i="1"/>
  <c r="H2" i="1"/>
  <c r="D2" i="1"/>
  <c r="A2" i="1"/>
  <c r="M1" i="1"/>
  <c r="H1" i="1"/>
  <c r="D1" i="1"/>
  <c r="A1" i="1"/>
  <c r="S57" i="2" l="1"/>
  <c r="S56" i="2"/>
  <c r="S55" i="2"/>
  <c r="S54" i="2"/>
  <c r="S53" i="2"/>
  <c r="S52" i="2"/>
  <c r="S51" i="2"/>
  <c r="T57" i="15"/>
  <c r="S57" i="15"/>
  <c r="R57" i="15"/>
  <c r="Q57" i="15"/>
  <c r="V57" i="15" s="1"/>
  <c r="T56" i="15"/>
  <c r="S56" i="15"/>
  <c r="R56" i="15"/>
  <c r="Q56" i="15"/>
  <c r="V56" i="15" s="1"/>
  <c r="Q22" i="1" s="1"/>
  <c r="T55" i="15"/>
  <c r="S55" i="15"/>
  <c r="R55" i="15"/>
  <c r="Q55" i="15"/>
  <c r="T54" i="15"/>
  <c r="S54" i="15"/>
  <c r="R54" i="15"/>
  <c r="Q54" i="15"/>
  <c r="V54" i="15" s="1"/>
  <c r="Q20" i="1" s="1"/>
  <c r="T53" i="15"/>
  <c r="S53" i="15"/>
  <c r="R53" i="15"/>
  <c r="Q53" i="15"/>
  <c r="V53" i="15" s="1"/>
  <c r="Q19" i="1" s="1"/>
  <c r="T52" i="15"/>
  <c r="S52" i="15"/>
  <c r="R52" i="15"/>
  <c r="Q52" i="15"/>
  <c r="V52" i="15" s="1"/>
  <c r="Q18" i="1" s="1"/>
  <c r="T51" i="15"/>
  <c r="S51" i="15"/>
  <c r="R51" i="15"/>
  <c r="Q51" i="15"/>
  <c r="V51" i="15" s="1"/>
  <c r="Q17" i="1" s="1"/>
  <c r="T50" i="15"/>
  <c r="S50" i="15"/>
  <c r="R50" i="15"/>
  <c r="Q50" i="15"/>
  <c r="V50" i="15" s="1"/>
  <c r="Q16" i="1" s="1"/>
  <c r="T49" i="15"/>
  <c r="S49" i="15"/>
  <c r="R49" i="15"/>
  <c r="Q49" i="15"/>
  <c r="T48" i="15"/>
  <c r="S48" i="15"/>
  <c r="R48" i="15"/>
  <c r="Q48" i="15"/>
  <c r="V48" i="15" s="1"/>
  <c r="Q14" i="1" s="1"/>
  <c r="T47" i="15"/>
  <c r="S47" i="15"/>
  <c r="R47" i="15"/>
  <c r="Q47" i="15"/>
  <c r="V47" i="15" s="1"/>
  <c r="T46" i="15"/>
  <c r="S46" i="15"/>
  <c r="R46" i="15"/>
  <c r="Q46" i="15"/>
  <c r="V46" i="15" s="1"/>
  <c r="Q12" i="1" s="1"/>
  <c r="T45" i="15"/>
  <c r="S45" i="15"/>
  <c r="R45" i="15"/>
  <c r="Q45" i="15"/>
  <c r="V45" i="15" s="1"/>
  <c r="Q11" i="1" s="1"/>
  <c r="T44" i="15"/>
  <c r="S44" i="15"/>
  <c r="R44" i="15"/>
  <c r="Q44" i="15"/>
  <c r="V44" i="15" s="1"/>
  <c r="Q10" i="1" s="1"/>
  <c r="T43" i="15"/>
  <c r="S43" i="15"/>
  <c r="R43" i="15"/>
  <c r="Q43" i="15"/>
  <c r="V43" i="15" s="1"/>
  <c r="Q9" i="1" s="1"/>
  <c r="T42" i="15"/>
  <c r="S42" i="15"/>
  <c r="R42" i="15"/>
  <c r="Q42" i="15"/>
  <c r="V42" i="15" s="1"/>
  <c r="Q8" i="1" s="1"/>
  <c r="T41" i="15"/>
  <c r="S41" i="15"/>
  <c r="R41" i="15"/>
  <c r="Q41" i="15"/>
  <c r="V41" i="15" s="1"/>
  <c r="Q7" i="1" s="1"/>
  <c r="T40" i="15"/>
  <c r="S40" i="15"/>
  <c r="R40" i="15"/>
  <c r="Q40" i="15"/>
  <c r="V40" i="15" s="1"/>
  <c r="Q6" i="1" s="1"/>
  <c r="T39" i="15"/>
  <c r="S39" i="15"/>
  <c r="R39" i="15"/>
  <c r="Q39" i="15"/>
  <c r="V39" i="15" s="1"/>
  <c r="Q5" i="1" s="1"/>
  <c r="T38" i="15"/>
  <c r="S38" i="15"/>
  <c r="R38" i="15"/>
  <c r="Q38" i="15"/>
  <c r="V38" i="15" s="1"/>
  <c r="O38" i="15" s="1"/>
  <c r="Q4" i="1" s="1"/>
  <c r="L36" i="15"/>
  <c r="J36" i="15"/>
  <c r="I36" i="15"/>
  <c r="D36" i="15"/>
  <c r="D34" i="15"/>
  <c r="D33" i="15"/>
  <c r="O20" i="15"/>
  <c r="M20" i="15"/>
  <c r="G20" i="15"/>
  <c r="E20" i="15"/>
  <c r="O19" i="15"/>
  <c r="M19" i="15"/>
  <c r="G19" i="15"/>
  <c r="E19" i="15"/>
  <c r="M18" i="15"/>
  <c r="E18" i="15"/>
  <c r="P14" i="15"/>
  <c r="M14" i="15"/>
  <c r="H14" i="15"/>
  <c r="E14" i="15"/>
  <c r="M13" i="15"/>
  <c r="D34" i="14"/>
  <c r="D33" i="14"/>
  <c r="O20" i="14"/>
  <c r="M20" i="14"/>
  <c r="H20" i="14"/>
  <c r="O19" i="14"/>
  <c r="M19" i="14"/>
  <c r="E19" i="14"/>
  <c r="Q55" i="11"/>
  <c r="R54" i="11"/>
  <c r="Q54" i="11"/>
  <c r="V54" i="11" s="1"/>
  <c r="T53" i="11"/>
  <c r="R53" i="11"/>
  <c r="Q53" i="11"/>
  <c r="V53" i="11" s="1"/>
  <c r="M19" i="1" s="1"/>
  <c r="R51" i="11"/>
  <c r="T49" i="11"/>
  <c r="Q49" i="11"/>
  <c r="T47" i="11"/>
  <c r="R47" i="11"/>
  <c r="R45" i="11"/>
  <c r="T44" i="11"/>
  <c r="Q42" i="11"/>
  <c r="D34" i="11"/>
  <c r="D33" i="11"/>
  <c r="P20" i="11"/>
  <c r="G20" i="11"/>
  <c r="M19" i="11"/>
  <c r="G19" i="11"/>
  <c r="G14" i="11"/>
  <c r="Q56" i="10"/>
  <c r="R54" i="10"/>
  <c r="T52" i="10"/>
  <c r="T51" i="10"/>
  <c r="Q50" i="10"/>
  <c r="T49" i="10"/>
  <c r="R48" i="10"/>
  <c r="T44" i="10"/>
  <c r="O19" i="10"/>
  <c r="G19" i="10"/>
  <c r="O14" i="10"/>
  <c r="O13" i="10"/>
  <c r="E13" i="10"/>
  <c r="V51" i="9"/>
  <c r="K17" i="1" s="1"/>
  <c r="V49" i="9"/>
  <c r="K15" i="1" s="1"/>
  <c r="V53" i="7"/>
  <c r="I19" i="1" s="1"/>
  <c r="M12" i="15"/>
  <c r="E12" i="15"/>
  <c r="T57" i="14"/>
  <c r="S57" i="14"/>
  <c r="R57" i="14"/>
  <c r="Q57" i="14"/>
  <c r="V57" i="14" s="1"/>
  <c r="P23" i="1" s="1"/>
  <c r="T56" i="14"/>
  <c r="S56" i="14"/>
  <c r="R56" i="14"/>
  <c r="Q56" i="14"/>
  <c r="V56" i="14" s="1"/>
  <c r="P22" i="1" s="1"/>
  <c r="T55" i="14"/>
  <c r="S55" i="14"/>
  <c r="R55" i="14"/>
  <c r="Q55" i="14"/>
  <c r="T54" i="14"/>
  <c r="S54" i="14"/>
  <c r="R54" i="14"/>
  <c r="Q54" i="14"/>
  <c r="T53" i="14"/>
  <c r="S53" i="14"/>
  <c r="R53" i="14"/>
  <c r="Q53" i="14"/>
  <c r="V53" i="14" s="1"/>
  <c r="P19" i="1" s="1"/>
  <c r="T52" i="14"/>
  <c r="S52" i="14"/>
  <c r="R52" i="14"/>
  <c r="Q52" i="14"/>
  <c r="V52" i="14" s="1"/>
  <c r="P18" i="1" s="1"/>
  <c r="T51" i="14"/>
  <c r="S51" i="14"/>
  <c r="R51" i="14"/>
  <c r="Q51" i="14"/>
  <c r="V51" i="14" s="1"/>
  <c r="P17" i="1" s="1"/>
  <c r="T50" i="14"/>
  <c r="S50" i="14"/>
  <c r="R50" i="14"/>
  <c r="Q50" i="14"/>
  <c r="V50" i="14" s="1"/>
  <c r="P16" i="1" s="1"/>
  <c r="T49" i="14"/>
  <c r="S49" i="14"/>
  <c r="R49" i="14"/>
  <c r="Q49" i="14"/>
  <c r="V49" i="14" s="1"/>
  <c r="P15" i="1" s="1"/>
  <c r="T48" i="14"/>
  <c r="S48" i="14"/>
  <c r="R48" i="14"/>
  <c r="Q48" i="14"/>
  <c r="V48" i="14" s="1"/>
  <c r="P14" i="1" s="1"/>
  <c r="T47" i="14"/>
  <c r="S47" i="14"/>
  <c r="R47" i="14"/>
  <c r="Q47" i="14"/>
  <c r="V47" i="14" s="1"/>
  <c r="P13" i="1" s="1"/>
  <c r="T46" i="14"/>
  <c r="S46" i="14"/>
  <c r="R46" i="14"/>
  <c r="Q46" i="14"/>
  <c r="V46" i="14" s="1"/>
  <c r="P12" i="1" s="1"/>
  <c r="T45" i="14"/>
  <c r="S45" i="14"/>
  <c r="R45" i="14"/>
  <c r="Q45" i="14"/>
  <c r="V45" i="14" s="1"/>
  <c r="P11" i="1" s="1"/>
  <c r="T44" i="14"/>
  <c r="S44" i="14"/>
  <c r="R44" i="14"/>
  <c r="Q44" i="14"/>
  <c r="V44" i="14" s="1"/>
  <c r="P10" i="1" s="1"/>
  <c r="T43" i="14"/>
  <c r="S43" i="14"/>
  <c r="R43" i="14"/>
  <c r="Q43" i="14"/>
  <c r="V43" i="14" s="1"/>
  <c r="P9" i="1" s="1"/>
  <c r="T42" i="14"/>
  <c r="S42" i="14"/>
  <c r="R42" i="14"/>
  <c r="Q42" i="14"/>
  <c r="V42" i="14" s="1"/>
  <c r="P8" i="1" s="1"/>
  <c r="T41" i="14"/>
  <c r="S41" i="14"/>
  <c r="R41" i="14"/>
  <c r="Q41" i="14"/>
  <c r="V41" i="14" s="1"/>
  <c r="P7" i="1" s="1"/>
  <c r="T40" i="14"/>
  <c r="S40" i="14"/>
  <c r="R40" i="14"/>
  <c r="Q40" i="14"/>
  <c r="V40" i="14" s="1"/>
  <c r="P6" i="1" s="1"/>
  <c r="T39" i="14"/>
  <c r="S39" i="14"/>
  <c r="R39" i="14"/>
  <c r="Q39" i="14"/>
  <c r="V39" i="14" s="1"/>
  <c r="P5" i="1" s="1"/>
  <c r="T38" i="14"/>
  <c r="S38" i="14"/>
  <c r="R38" i="14"/>
  <c r="Q38" i="14"/>
  <c r="V38" i="14" s="1"/>
  <c r="O38" i="14" s="1"/>
  <c r="P4" i="1" s="1"/>
  <c r="L36" i="14"/>
  <c r="J36" i="14"/>
  <c r="I36" i="14"/>
  <c r="D36" i="14"/>
  <c r="V52" i="7"/>
  <c r="I18" i="1" s="1"/>
  <c r="M18" i="14"/>
  <c r="E18" i="14"/>
  <c r="O14" i="14"/>
  <c r="M14" i="14"/>
  <c r="G14" i="14"/>
  <c r="E14" i="14"/>
  <c r="O13" i="14"/>
  <c r="M13" i="14"/>
  <c r="G13" i="14"/>
  <c r="E13" i="14"/>
  <c r="M12" i="14"/>
  <c r="E12" i="14"/>
  <c r="T57" i="13"/>
  <c r="S57" i="13"/>
  <c r="R57" i="13"/>
  <c r="Q57" i="13"/>
  <c r="V57" i="13" s="1"/>
  <c r="O23" i="1" s="1"/>
  <c r="T56" i="13"/>
  <c r="S56" i="13"/>
  <c r="R56" i="13"/>
  <c r="Q56" i="13"/>
  <c r="V56" i="13" s="1"/>
  <c r="O22" i="1" s="1"/>
  <c r="T55" i="13"/>
  <c r="S55" i="13"/>
  <c r="R55" i="13"/>
  <c r="Q55" i="13"/>
  <c r="V55" i="13" s="1"/>
  <c r="O21" i="1" s="1"/>
  <c r="T54" i="13"/>
  <c r="S54" i="13"/>
  <c r="R54" i="13"/>
  <c r="Q54" i="13"/>
  <c r="V54" i="13" s="1"/>
  <c r="O20" i="1" s="1"/>
  <c r="T53" i="13"/>
  <c r="S53" i="13"/>
  <c r="R53" i="13"/>
  <c r="Q53" i="13"/>
  <c r="V53" i="13" s="1"/>
  <c r="O19" i="1" s="1"/>
  <c r="T52" i="13"/>
  <c r="S52" i="13"/>
  <c r="R52" i="13"/>
  <c r="Q52" i="13"/>
  <c r="V52" i="13" s="1"/>
  <c r="O18" i="1" s="1"/>
  <c r="T51" i="13"/>
  <c r="S51" i="13"/>
  <c r="R51" i="13"/>
  <c r="Q51" i="13"/>
  <c r="V51" i="13" s="1"/>
  <c r="O17" i="1" s="1"/>
  <c r="T50" i="13"/>
  <c r="S50" i="13"/>
  <c r="R50" i="13"/>
  <c r="Q50" i="13"/>
  <c r="V50" i="13" s="1"/>
  <c r="O16" i="1" s="1"/>
  <c r="T49" i="13"/>
  <c r="S49" i="13"/>
  <c r="R49" i="13"/>
  <c r="Q49" i="13"/>
  <c r="V49" i="13" s="1"/>
  <c r="O15" i="1" s="1"/>
  <c r="T48" i="13"/>
  <c r="S48" i="13"/>
  <c r="R48" i="13"/>
  <c r="Q48" i="13"/>
  <c r="V48" i="13" s="1"/>
  <c r="O14" i="1" s="1"/>
  <c r="T47" i="13"/>
  <c r="S47" i="13"/>
  <c r="R47" i="13"/>
  <c r="Q47" i="13"/>
  <c r="V47" i="13" s="1"/>
  <c r="O13" i="1" s="1"/>
  <c r="T46" i="13"/>
  <c r="S46" i="13"/>
  <c r="R46" i="13"/>
  <c r="Q46" i="13"/>
  <c r="V46" i="13" s="1"/>
  <c r="O12" i="1" s="1"/>
  <c r="T45" i="13"/>
  <c r="S45" i="13"/>
  <c r="R45" i="13"/>
  <c r="Q45" i="13"/>
  <c r="V45" i="13" s="1"/>
  <c r="O11" i="1" s="1"/>
  <c r="T44" i="13"/>
  <c r="S44" i="13"/>
  <c r="R44" i="13"/>
  <c r="Q44" i="13"/>
  <c r="V44" i="13" s="1"/>
  <c r="O10" i="1" s="1"/>
  <c r="T43" i="13"/>
  <c r="S43" i="13"/>
  <c r="R43" i="13"/>
  <c r="Q43" i="13"/>
  <c r="V43" i="13" s="1"/>
  <c r="O9" i="1" s="1"/>
  <c r="T42" i="13"/>
  <c r="S42" i="13"/>
  <c r="R42" i="13"/>
  <c r="Q42" i="13"/>
  <c r="V42" i="13" s="1"/>
  <c r="O8" i="1" s="1"/>
  <c r="T41" i="13"/>
  <c r="S41" i="13"/>
  <c r="R41" i="13"/>
  <c r="Q41" i="13"/>
  <c r="V41" i="13" s="1"/>
  <c r="O7" i="1" s="1"/>
  <c r="T40" i="13"/>
  <c r="S40" i="13"/>
  <c r="R40" i="13"/>
  <c r="Q40" i="13"/>
  <c r="V40" i="13" s="1"/>
  <c r="O6" i="1" s="1"/>
  <c r="T39" i="13"/>
  <c r="S39" i="13"/>
  <c r="R39" i="13"/>
  <c r="Q39" i="13"/>
  <c r="V39" i="13" s="1"/>
  <c r="O5" i="1" s="1"/>
  <c r="T38" i="13"/>
  <c r="S38" i="13"/>
  <c r="R38" i="13"/>
  <c r="Q38" i="13"/>
  <c r="V38" i="13" s="1"/>
  <c r="O38" i="13" s="1"/>
  <c r="O4" i="1" s="1"/>
  <c r="L36" i="13"/>
  <c r="D34" i="13"/>
  <c r="D33" i="13"/>
  <c r="D34" i="12"/>
  <c r="D33" i="12"/>
  <c r="O20" i="12"/>
  <c r="M20" i="12"/>
  <c r="G20" i="12"/>
  <c r="E20" i="12"/>
  <c r="O19" i="12"/>
  <c r="M19" i="12"/>
  <c r="G19" i="12"/>
  <c r="E19" i="12"/>
  <c r="M18" i="12"/>
  <c r="E18" i="12"/>
  <c r="O14" i="12"/>
  <c r="M14" i="12"/>
  <c r="G14" i="12"/>
  <c r="E14" i="12"/>
  <c r="O13" i="12"/>
  <c r="M13" i="12"/>
  <c r="G13" i="12"/>
  <c r="E13" i="12"/>
  <c r="M12" i="12"/>
  <c r="E12" i="12"/>
  <c r="T57" i="11"/>
  <c r="Q57" i="11"/>
  <c r="V57" i="11" s="1"/>
  <c r="M23" i="1" s="1"/>
  <c r="T56" i="11"/>
  <c r="R56" i="11"/>
  <c r="Q56" i="11"/>
  <c r="V56" i="11" s="1"/>
  <c r="M22" i="1" s="1"/>
  <c r="R52" i="11"/>
  <c r="R50" i="11"/>
  <c r="T48" i="11"/>
  <c r="Q48" i="11"/>
  <c r="V48" i="11" s="1"/>
  <c r="T43" i="11"/>
  <c r="T42" i="11"/>
  <c r="R42" i="11"/>
  <c r="T41" i="11"/>
  <c r="M20" i="11"/>
  <c r="E20" i="11"/>
  <c r="P14" i="11"/>
  <c r="H14" i="11"/>
  <c r="Q57" i="10"/>
  <c r="Q52" i="10"/>
  <c r="V52" i="10" s="1"/>
  <c r="Q51" i="10"/>
  <c r="V51" i="10" s="1"/>
  <c r="L17" i="1" s="1"/>
  <c r="R50" i="10"/>
  <c r="Q48" i="10"/>
  <c r="V48" i="10" s="1"/>
  <c r="R46" i="10"/>
  <c r="P20" i="10"/>
  <c r="H14" i="10"/>
  <c r="M13" i="10"/>
  <c r="V53" i="8"/>
  <c r="J19" i="1" s="1"/>
  <c r="O20" i="13"/>
  <c r="M20" i="13"/>
  <c r="G20" i="13"/>
  <c r="E20" i="13"/>
  <c r="O19" i="13"/>
  <c r="M19" i="13"/>
  <c r="G19" i="13"/>
  <c r="E19" i="13"/>
  <c r="M18" i="13"/>
  <c r="E18" i="13"/>
  <c r="O14" i="13"/>
  <c r="M14" i="13"/>
  <c r="G14" i="13"/>
  <c r="E14" i="13"/>
  <c r="O13" i="13"/>
  <c r="M13" i="13"/>
  <c r="G13" i="13"/>
  <c r="E13" i="13"/>
  <c r="M12" i="13"/>
  <c r="E12" i="13"/>
  <c r="T57" i="12"/>
  <c r="S57" i="12"/>
  <c r="R57" i="12"/>
  <c r="Q57" i="12"/>
  <c r="V57" i="12" s="1"/>
  <c r="N23" i="1" s="1"/>
  <c r="T56" i="12"/>
  <c r="S56" i="12"/>
  <c r="R56" i="12"/>
  <c r="Q56" i="12"/>
  <c r="V56" i="12" s="1"/>
  <c r="N22" i="1" s="1"/>
  <c r="T55" i="12"/>
  <c r="S55" i="12"/>
  <c r="R55" i="12"/>
  <c r="Q55" i="12"/>
  <c r="V55" i="12" s="1"/>
  <c r="N21" i="1" s="1"/>
  <c r="T54" i="12"/>
  <c r="S54" i="12"/>
  <c r="R54" i="12"/>
  <c r="Q54" i="12"/>
  <c r="T53" i="12"/>
  <c r="S53" i="12"/>
  <c r="R53" i="12"/>
  <c r="Q53" i="12"/>
  <c r="V53" i="12" s="1"/>
  <c r="N19" i="1" s="1"/>
  <c r="T52" i="12"/>
  <c r="S52" i="12"/>
  <c r="R52" i="12"/>
  <c r="Q52" i="12"/>
  <c r="V52" i="12" s="1"/>
  <c r="N18" i="1" s="1"/>
  <c r="T51" i="12"/>
  <c r="S51" i="12"/>
  <c r="R51" i="12"/>
  <c r="Q51" i="12"/>
  <c r="V51" i="12" s="1"/>
  <c r="N17" i="1" s="1"/>
  <c r="T50" i="12"/>
  <c r="S50" i="12"/>
  <c r="R50" i="12"/>
  <c r="Q50" i="12"/>
  <c r="V50" i="12" s="1"/>
  <c r="N16" i="1" s="1"/>
  <c r="T49" i="12"/>
  <c r="S49" i="12"/>
  <c r="R49" i="12"/>
  <c r="Q49" i="12"/>
  <c r="V49" i="12" s="1"/>
  <c r="N15" i="1" s="1"/>
  <c r="T48" i="12"/>
  <c r="R48" i="12"/>
  <c r="Q48" i="12"/>
  <c r="V48" i="12" s="1"/>
  <c r="N14" i="1" s="1"/>
  <c r="T47" i="12"/>
  <c r="R47" i="12"/>
  <c r="Q47" i="12"/>
  <c r="V47" i="12" s="1"/>
  <c r="N13" i="1" s="1"/>
  <c r="T46" i="12"/>
  <c r="R46" i="12"/>
  <c r="Q46" i="12"/>
  <c r="V46" i="12" s="1"/>
  <c r="N12" i="1" s="1"/>
  <c r="T45" i="12"/>
  <c r="R45" i="12"/>
  <c r="Q45" i="12"/>
  <c r="V45" i="12" s="1"/>
  <c r="N11" i="1" s="1"/>
  <c r="T44" i="12"/>
  <c r="R44" i="12"/>
  <c r="Q44" i="12"/>
  <c r="V44" i="12" s="1"/>
  <c r="N10" i="1" s="1"/>
  <c r="T43" i="12"/>
  <c r="R43" i="12"/>
  <c r="Q43" i="12"/>
  <c r="V43" i="12" s="1"/>
  <c r="N9" i="1" s="1"/>
  <c r="T42" i="12"/>
  <c r="R42" i="12"/>
  <c r="Q42" i="12"/>
  <c r="V42" i="12" s="1"/>
  <c r="N8" i="1" s="1"/>
  <c r="T41" i="12"/>
  <c r="R41" i="12"/>
  <c r="Q41" i="12"/>
  <c r="V41" i="12" s="1"/>
  <c r="N7" i="1" s="1"/>
  <c r="T40" i="12"/>
  <c r="R40" i="12"/>
  <c r="Q40" i="12"/>
  <c r="V40" i="12" s="1"/>
  <c r="N6" i="1" s="1"/>
  <c r="T39" i="12"/>
  <c r="R39" i="12"/>
  <c r="Q39" i="12"/>
  <c r="V39" i="12" s="1"/>
  <c r="N5" i="1" s="1"/>
  <c r="V51" i="8"/>
  <c r="J17" i="1" s="1"/>
  <c r="T38" i="12"/>
  <c r="S38" i="12"/>
  <c r="R38" i="12"/>
  <c r="Q38" i="12"/>
  <c r="L36" i="12"/>
  <c r="J36" i="12"/>
  <c r="I36" i="12"/>
  <c r="D36" i="12"/>
  <c r="T55" i="11"/>
  <c r="T54" i="11"/>
  <c r="Q52" i="11"/>
  <c r="T50" i="11"/>
  <c r="Q50" i="11"/>
  <c r="Q47" i="11"/>
  <c r="Q46" i="11"/>
  <c r="T45" i="11"/>
  <c r="Q45" i="11"/>
  <c r="R43" i="11"/>
  <c r="M18" i="11"/>
  <c r="E18" i="11"/>
  <c r="G13" i="11"/>
  <c r="T57" i="10"/>
  <c r="R53" i="10"/>
  <c r="R51" i="10"/>
  <c r="T48" i="10"/>
  <c r="Q47" i="10"/>
  <c r="T46" i="10"/>
  <c r="Q46" i="10"/>
  <c r="Q44" i="10"/>
  <c r="O20" i="10"/>
  <c r="E20" i="10"/>
  <c r="E19" i="10"/>
  <c r="M18" i="10"/>
  <c r="G14" i="10"/>
  <c r="S41" i="11"/>
  <c r="R41" i="11"/>
  <c r="Q41" i="11"/>
  <c r="T40" i="11"/>
  <c r="S40" i="11"/>
  <c r="R40" i="11"/>
  <c r="Q40" i="11"/>
  <c r="V40" i="11" s="1"/>
  <c r="M6" i="1" s="1"/>
  <c r="T39" i="11"/>
  <c r="S39" i="11"/>
  <c r="R39" i="11"/>
  <c r="Q39" i="11"/>
  <c r="V39" i="11" s="1"/>
  <c r="M5" i="1" s="1"/>
  <c r="T38" i="11"/>
  <c r="S38" i="11"/>
  <c r="R38" i="11"/>
  <c r="Q38" i="11"/>
  <c r="V38" i="11" s="1"/>
  <c r="O38" i="11" s="1"/>
  <c r="M4" i="1" s="1"/>
  <c r="L36" i="11"/>
  <c r="J36" i="11"/>
  <c r="I36" i="11"/>
  <c r="D36" i="11"/>
  <c r="T55" i="10"/>
  <c r="Q55" i="10"/>
  <c r="Q54" i="10"/>
  <c r="R52" i="10"/>
  <c r="T50" i="10"/>
  <c r="R49" i="10"/>
  <c r="T47" i="10"/>
  <c r="R47" i="10"/>
  <c r="R45" i="10"/>
  <c r="R44" i="10"/>
  <c r="D34" i="10"/>
  <c r="G20" i="10"/>
  <c r="M19" i="10"/>
  <c r="E18" i="10"/>
  <c r="G13" i="10"/>
  <c r="E12" i="10"/>
  <c r="V56" i="9"/>
  <c r="K22" i="1" s="1"/>
  <c r="V55" i="8"/>
  <c r="J21" i="1" s="1"/>
  <c r="T43" i="10"/>
  <c r="S43" i="10"/>
  <c r="R43" i="10"/>
  <c r="Q43" i="10"/>
  <c r="V43" i="10" s="1"/>
  <c r="L9" i="1" s="1"/>
  <c r="T42" i="10"/>
  <c r="S42" i="10"/>
  <c r="R42" i="10"/>
  <c r="Q42" i="10"/>
  <c r="V42" i="10" s="1"/>
  <c r="L8" i="1" s="1"/>
  <c r="T41" i="10"/>
  <c r="S41" i="10"/>
  <c r="R41" i="10"/>
  <c r="Q41" i="10"/>
  <c r="V41" i="10" s="1"/>
  <c r="L7" i="1" s="1"/>
  <c r="T40" i="10"/>
  <c r="S40" i="10"/>
  <c r="R40" i="10"/>
  <c r="Q40" i="10"/>
  <c r="V40" i="10" s="1"/>
  <c r="L6" i="1" s="1"/>
  <c r="T39" i="10"/>
  <c r="S39" i="10"/>
  <c r="R39" i="10"/>
  <c r="Q39" i="10"/>
  <c r="V39" i="10" s="1"/>
  <c r="L5" i="1" s="1"/>
  <c r="T38" i="10"/>
  <c r="S38" i="10"/>
  <c r="R38" i="10"/>
  <c r="Q38" i="10"/>
  <c r="V38" i="10" s="1"/>
  <c r="O38" i="10" s="1"/>
  <c r="L4" i="1" s="1"/>
  <c r="L36" i="10"/>
  <c r="J36" i="10"/>
  <c r="I36" i="10"/>
  <c r="D36" i="10"/>
  <c r="S46" i="9"/>
  <c r="R46" i="9"/>
  <c r="Q46" i="9"/>
  <c r="V46" i="9" s="1"/>
  <c r="K12" i="1" s="1"/>
  <c r="T45" i="9"/>
  <c r="S45" i="9"/>
  <c r="R45" i="9"/>
  <c r="Q45" i="9"/>
  <c r="V45" i="9" s="1"/>
  <c r="K11" i="1" s="1"/>
  <c r="T44" i="9"/>
  <c r="S44" i="9"/>
  <c r="R44" i="9"/>
  <c r="Q44" i="9"/>
  <c r="V44" i="9" s="1"/>
  <c r="K10" i="1" s="1"/>
  <c r="T43" i="9"/>
  <c r="S43" i="9"/>
  <c r="R43" i="9"/>
  <c r="Q43" i="9"/>
  <c r="V43" i="9" s="1"/>
  <c r="K9" i="1" s="1"/>
  <c r="T42" i="9"/>
  <c r="S42" i="9"/>
  <c r="R42" i="9"/>
  <c r="Q42" i="9"/>
  <c r="V42" i="9" s="1"/>
  <c r="K8" i="1" s="1"/>
  <c r="T41" i="9"/>
  <c r="S41" i="9"/>
  <c r="R41" i="9"/>
  <c r="Q41" i="9"/>
  <c r="V41" i="9" s="1"/>
  <c r="K7" i="1" s="1"/>
  <c r="T40" i="9"/>
  <c r="S40" i="9"/>
  <c r="R40" i="9"/>
  <c r="Q40" i="9"/>
  <c r="V40" i="9" s="1"/>
  <c r="K6" i="1" s="1"/>
  <c r="T39" i="9"/>
  <c r="S39" i="9"/>
  <c r="R39" i="9"/>
  <c r="Q39" i="9"/>
  <c r="V39" i="9" s="1"/>
  <c r="K5" i="1" s="1"/>
  <c r="T38" i="9"/>
  <c r="S38" i="9"/>
  <c r="R38" i="9"/>
  <c r="Q38" i="9"/>
  <c r="V38" i="9" s="1"/>
  <c r="O38" i="9" s="1"/>
  <c r="K4" i="1" s="1"/>
  <c r="L36" i="9"/>
  <c r="J36" i="9"/>
  <c r="I36" i="9"/>
  <c r="D36" i="9"/>
  <c r="D34" i="9"/>
  <c r="D33" i="9"/>
  <c r="O20" i="9"/>
  <c r="M20" i="9"/>
  <c r="G20" i="9"/>
  <c r="E20" i="9"/>
  <c r="O19" i="9"/>
  <c r="M19" i="9"/>
  <c r="G19" i="9"/>
  <c r="E19" i="9"/>
  <c r="M18" i="9"/>
  <c r="E18" i="9"/>
  <c r="O14" i="9"/>
  <c r="M14" i="9"/>
  <c r="G14" i="9"/>
  <c r="E14" i="9"/>
  <c r="O13" i="9"/>
  <c r="M13" i="9"/>
  <c r="G13" i="9"/>
  <c r="E13" i="9"/>
  <c r="M12" i="9"/>
  <c r="E12" i="9"/>
  <c r="Q49" i="8"/>
  <c r="V49" i="8" s="1"/>
  <c r="J15" i="1" s="1"/>
  <c r="T48" i="8"/>
  <c r="S48" i="8"/>
  <c r="R48" i="8"/>
  <c r="Q48" i="8"/>
  <c r="V48" i="8" s="1"/>
  <c r="J14" i="1" s="1"/>
  <c r="T47" i="8"/>
  <c r="S47" i="8"/>
  <c r="R47" i="8"/>
  <c r="Q47" i="8"/>
  <c r="V47" i="8" s="1"/>
  <c r="J13" i="1" s="1"/>
  <c r="T46" i="8"/>
  <c r="S46" i="8"/>
  <c r="R46" i="8"/>
  <c r="Q46" i="8"/>
  <c r="V46" i="8" s="1"/>
  <c r="J12" i="1" s="1"/>
  <c r="T45" i="8"/>
  <c r="S45" i="8"/>
  <c r="R45" i="8"/>
  <c r="Q45" i="8"/>
  <c r="V45" i="8" s="1"/>
  <c r="J11" i="1" s="1"/>
  <c r="T44" i="8"/>
  <c r="S44" i="8"/>
  <c r="R44" i="8"/>
  <c r="Q44" i="8"/>
  <c r="V44" i="8" s="1"/>
  <c r="J10" i="1" s="1"/>
  <c r="T43" i="8"/>
  <c r="S43" i="8"/>
  <c r="R43" i="8"/>
  <c r="Q43" i="8"/>
  <c r="V43" i="8" s="1"/>
  <c r="J9" i="1" s="1"/>
  <c r="T42" i="8"/>
  <c r="S42" i="8"/>
  <c r="R42" i="8"/>
  <c r="Q42" i="8"/>
  <c r="V42" i="8" s="1"/>
  <c r="J8" i="1" s="1"/>
  <c r="T41" i="8"/>
  <c r="S41" i="8"/>
  <c r="R41" i="8"/>
  <c r="Q41" i="8"/>
  <c r="V41" i="8" s="1"/>
  <c r="J7" i="1" s="1"/>
  <c r="T40" i="8"/>
  <c r="S40" i="8"/>
  <c r="R40" i="8"/>
  <c r="Q40" i="8"/>
  <c r="V40" i="8" s="1"/>
  <c r="J6" i="1" s="1"/>
  <c r="T39" i="8"/>
  <c r="S39" i="8"/>
  <c r="R39" i="8"/>
  <c r="Q39" i="8"/>
  <c r="V39" i="8" s="1"/>
  <c r="J5" i="1" s="1"/>
  <c r="T38" i="8"/>
  <c r="S38" i="8"/>
  <c r="R38" i="8"/>
  <c r="Q38" i="8"/>
  <c r="O38" i="8" s="1"/>
  <c r="J4" i="1" s="1"/>
  <c r="L36" i="8"/>
  <c r="J36" i="8"/>
  <c r="I36" i="8"/>
  <c r="D36" i="8"/>
  <c r="D34" i="8"/>
  <c r="D33" i="8"/>
  <c r="O20" i="8"/>
  <c r="M20" i="8"/>
  <c r="G20" i="8"/>
  <c r="E20" i="8"/>
  <c r="O19" i="8"/>
  <c r="M19" i="8"/>
  <c r="G19" i="8"/>
  <c r="E19" i="8"/>
  <c r="M18" i="8"/>
  <c r="E18" i="8"/>
  <c r="O14" i="8"/>
  <c r="M14" i="8"/>
  <c r="G14" i="8"/>
  <c r="E14" i="8"/>
  <c r="O13" i="8"/>
  <c r="M13" i="8"/>
  <c r="G13" i="8"/>
  <c r="E13" i="8"/>
  <c r="M12" i="8"/>
  <c r="E12" i="8"/>
  <c r="V57" i="7"/>
  <c r="I23" i="1" s="1"/>
  <c r="T51" i="7"/>
  <c r="S51" i="7"/>
  <c r="R51" i="7"/>
  <c r="Q51" i="7"/>
  <c r="V51" i="7" s="1"/>
  <c r="I17" i="1" s="1"/>
  <c r="T50" i="7"/>
  <c r="S50" i="7"/>
  <c r="R50" i="7"/>
  <c r="Q50" i="7"/>
  <c r="V50" i="7" s="1"/>
  <c r="I16" i="1" s="1"/>
  <c r="T49" i="7"/>
  <c r="S49" i="7"/>
  <c r="R49" i="7"/>
  <c r="Q49" i="7"/>
  <c r="V49" i="7" s="1"/>
  <c r="I15" i="1" s="1"/>
  <c r="T48" i="7"/>
  <c r="S48" i="7"/>
  <c r="R48" i="7"/>
  <c r="Q48" i="7"/>
  <c r="V48" i="7" s="1"/>
  <c r="I14" i="1" s="1"/>
  <c r="T47" i="7"/>
  <c r="S47" i="7"/>
  <c r="R47" i="7"/>
  <c r="Q47" i="7"/>
  <c r="V47" i="7" s="1"/>
  <c r="I13" i="1" s="1"/>
  <c r="T46" i="7"/>
  <c r="S46" i="7"/>
  <c r="R46" i="7"/>
  <c r="Q46" i="7"/>
  <c r="V46" i="7" s="1"/>
  <c r="I12" i="1" s="1"/>
  <c r="T45" i="7"/>
  <c r="S45" i="7"/>
  <c r="R45" i="7"/>
  <c r="Q45" i="7"/>
  <c r="V45" i="7" s="1"/>
  <c r="I11" i="1" s="1"/>
  <c r="T44" i="7"/>
  <c r="S44" i="7"/>
  <c r="R44" i="7"/>
  <c r="Q44" i="7"/>
  <c r="V44" i="7" s="1"/>
  <c r="I10" i="1" s="1"/>
  <c r="T43" i="7"/>
  <c r="S43" i="7"/>
  <c r="R43" i="7"/>
  <c r="Q43" i="7"/>
  <c r="V43" i="7" s="1"/>
  <c r="I9" i="1" s="1"/>
  <c r="T42" i="7"/>
  <c r="S42" i="7"/>
  <c r="R42" i="7"/>
  <c r="Q42" i="7"/>
  <c r="V42" i="7" s="1"/>
  <c r="I8" i="1" s="1"/>
  <c r="T41" i="7"/>
  <c r="S41" i="7"/>
  <c r="R41" i="7"/>
  <c r="Q41" i="7"/>
  <c r="V41" i="7" s="1"/>
  <c r="I7" i="1" s="1"/>
  <c r="T40" i="7"/>
  <c r="S40" i="7"/>
  <c r="R40" i="7"/>
  <c r="Q40" i="7"/>
  <c r="V40" i="7" s="1"/>
  <c r="I6" i="1" s="1"/>
  <c r="T39" i="7"/>
  <c r="S39" i="7"/>
  <c r="R39" i="7"/>
  <c r="Q39" i="7"/>
  <c r="V39" i="7" s="1"/>
  <c r="I5" i="1" s="1"/>
  <c r="T38" i="7"/>
  <c r="S38" i="7"/>
  <c r="R38" i="7"/>
  <c r="Q38" i="7"/>
  <c r="V38" i="7" s="1"/>
  <c r="O38" i="7" s="1"/>
  <c r="I4" i="1" s="1"/>
  <c r="L36" i="7"/>
  <c r="J36" i="7"/>
  <c r="I36" i="7"/>
  <c r="D36" i="7"/>
  <c r="D34" i="7"/>
  <c r="D33" i="7"/>
  <c r="O20" i="7"/>
  <c r="M20" i="7"/>
  <c r="G20" i="7"/>
  <c r="E20" i="7"/>
  <c r="O19" i="7"/>
  <c r="M19" i="7"/>
  <c r="G19" i="7"/>
  <c r="E19" i="7"/>
  <c r="M18" i="7"/>
  <c r="E18" i="7"/>
  <c r="O14" i="7"/>
  <c r="M14" i="7"/>
  <c r="G14" i="7"/>
  <c r="E14" i="7"/>
  <c r="O13" i="7"/>
  <c r="M13" i="7"/>
  <c r="G13" i="7"/>
  <c r="E13" i="7"/>
  <c r="M12" i="7"/>
  <c r="E12" i="7"/>
  <c r="V57" i="6"/>
  <c r="H23" i="1" s="1"/>
  <c r="V56" i="6"/>
  <c r="H22" i="1" s="1"/>
  <c r="V55" i="6"/>
  <c r="H21" i="1" s="1"/>
  <c r="V57" i="8"/>
  <c r="J23" i="1" s="1"/>
  <c r="T54" i="6"/>
  <c r="S54" i="6"/>
  <c r="R54" i="6"/>
  <c r="Q54" i="6"/>
  <c r="V54" i="6" s="1"/>
  <c r="H20" i="1" s="1"/>
  <c r="T53" i="6"/>
  <c r="S53" i="6"/>
  <c r="R53" i="6"/>
  <c r="Q53" i="6"/>
  <c r="V53" i="6" s="1"/>
  <c r="H19" i="1" s="1"/>
  <c r="T52" i="6"/>
  <c r="S52" i="6"/>
  <c r="R52" i="6"/>
  <c r="Q52" i="6"/>
  <c r="V52" i="6" s="1"/>
  <c r="H18" i="1" s="1"/>
  <c r="T51" i="6"/>
  <c r="S51" i="6"/>
  <c r="R51" i="6"/>
  <c r="Q51" i="6"/>
  <c r="V51" i="6" s="1"/>
  <c r="H17" i="1" s="1"/>
  <c r="T50" i="6"/>
  <c r="S50" i="6"/>
  <c r="R50" i="6"/>
  <c r="Q50" i="6"/>
  <c r="V50" i="6" s="1"/>
  <c r="H16" i="1" s="1"/>
  <c r="T49" i="6"/>
  <c r="S49" i="6"/>
  <c r="R49" i="6"/>
  <c r="Q49" i="6"/>
  <c r="V49" i="6" s="1"/>
  <c r="H15" i="1" s="1"/>
  <c r="T48" i="6"/>
  <c r="S48" i="6"/>
  <c r="R48" i="6"/>
  <c r="Q48" i="6"/>
  <c r="V48" i="6" s="1"/>
  <c r="H14" i="1" s="1"/>
  <c r="T47" i="6"/>
  <c r="S47" i="6"/>
  <c r="R47" i="6"/>
  <c r="Q47" i="6"/>
  <c r="V47" i="6" s="1"/>
  <c r="H13" i="1" s="1"/>
  <c r="T46" i="6"/>
  <c r="S46" i="6"/>
  <c r="R46" i="6"/>
  <c r="Q46" i="6"/>
  <c r="V46" i="6" s="1"/>
  <c r="H12" i="1" s="1"/>
  <c r="T45" i="6"/>
  <c r="S45" i="6"/>
  <c r="R45" i="6"/>
  <c r="Q45" i="6"/>
  <c r="V45" i="6" s="1"/>
  <c r="H11" i="1" s="1"/>
  <c r="T44" i="6"/>
  <c r="S44" i="6"/>
  <c r="R44" i="6"/>
  <c r="Q44" i="6"/>
  <c r="V44" i="6" s="1"/>
  <c r="H10" i="1" s="1"/>
  <c r="T43" i="6"/>
  <c r="S43" i="6"/>
  <c r="R43" i="6"/>
  <c r="Q43" i="6"/>
  <c r="V43" i="6" s="1"/>
  <c r="H9" i="1" s="1"/>
  <c r="T42" i="6"/>
  <c r="S42" i="6"/>
  <c r="R42" i="6"/>
  <c r="Q42" i="6"/>
  <c r="V42" i="6" s="1"/>
  <c r="H8" i="1" s="1"/>
  <c r="T41" i="6"/>
  <c r="S41" i="6"/>
  <c r="R41" i="6"/>
  <c r="Q41" i="6"/>
  <c r="V41" i="6" s="1"/>
  <c r="H7" i="1" s="1"/>
  <c r="T40" i="6"/>
  <c r="S40" i="6"/>
  <c r="R40" i="6"/>
  <c r="Q40" i="6"/>
  <c r="V40" i="6" s="1"/>
  <c r="H6" i="1" s="1"/>
  <c r="T39" i="6"/>
  <c r="S39" i="6"/>
  <c r="R39" i="6"/>
  <c r="Q39" i="6"/>
  <c r="V39" i="6" s="1"/>
  <c r="H5" i="1" s="1"/>
  <c r="T38" i="6"/>
  <c r="S38" i="6"/>
  <c r="R38" i="6"/>
  <c r="Q38" i="6"/>
  <c r="V38" i="6" s="1"/>
  <c r="O38" i="6" s="1"/>
  <c r="H4" i="1" s="1"/>
  <c r="L36" i="6"/>
  <c r="J36" i="6"/>
  <c r="I36" i="6"/>
  <c r="D36" i="6"/>
  <c r="D34" i="6"/>
  <c r="D33" i="6"/>
  <c r="O20" i="6"/>
  <c r="M20" i="6"/>
  <c r="G20" i="6"/>
  <c r="E20" i="6"/>
  <c r="O19" i="6"/>
  <c r="M19" i="6"/>
  <c r="G19" i="6"/>
  <c r="E19" i="6"/>
  <c r="M18" i="6"/>
  <c r="E18" i="6"/>
  <c r="O14" i="6"/>
  <c r="M14" i="6"/>
  <c r="G14" i="6"/>
  <c r="E14" i="6"/>
  <c r="O13" i="6"/>
  <c r="M13" i="6"/>
  <c r="G13" i="6"/>
  <c r="E13" i="6"/>
  <c r="M12" i="6"/>
  <c r="E12" i="6"/>
  <c r="T57" i="5"/>
  <c r="R57" i="5"/>
  <c r="D34" i="5"/>
  <c r="D33" i="5"/>
  <c r="O20" i="5"/>
  <c r="M20" i="5"/>
  <c r="G20" i="5"/>
  <c r="E20" i="5"/>
  <c r="O19" i="5"/>
  <c r="M19" i="5"/>
  <c r="G19" i="5"/>
  <c r="E19" i="5"/>
  <c r="M18" i="5"/>
  <c r="E18" i="5"/>
  <c r="O14" i="5"/>
  <c r="M14" i="5"/>
  <c r="G14" i="5"/>
  <c r="E14" i="5"/>
  <c r="O13" i="5"/>
  <c r="M13" i="5"/>
  <c r="G13" i="5"/>
  <c r="E13" i="5"/>
  <c r="M12" i="5"/>
  <c r="E12" i="5"/>
  <c r="D34" i="4"/>
  <c r="D33" i="4"/>
  <c r="O20" i="4"/>
  <c r="M20" i="4"/>
  <c r="G20" i="4"/>
  <c r="E20" i="4"/>
  <c r="O19" i="4"/>
  <c r="M19" i="4"/>
  <c r="G19" i="4"/>
  <c r="E19" i="4"/>
  <c r="M18" i="4"/>
  <c r="E18" i="4"/>
  <c r="P14" i="4"/>
  <c r="O14" i="4"/>
  <c r="M14" i="4"/>
  <c r="G14" i="4"/>
  <c r="E14" i="4"/>
  <c r="O13" i="4"/>
  <c r="M13" i="4"/>
  <c r="G13" i="4"/>
  <c r="E13" i="4"/>
  <c r="M12" i="4"/>
  <c r="E12" i="4"/>
  <c r="V55" i="9"/>
  <c r="K21" i="1" s="1"/>
  <c r="V56" i="7"/>
  <c r="Q57" i="5"/>
  <c r="V57" i="5" s="1"/>
  <c r="G23" i="1" s="1"/>
  <c r="T56" i="5"/>
  <c r="S56" i="5"/>
  <c r="R56" i="5"/>
  <c r="Q56" i="5"/>
  <c r="V56" i="5" s="1"/>
  <c r="G22" i="1" s="1"/>
  <c r="T55" i="5"/>
  <c r="S55" i="5"/>
  <c r="R55" i="5"/>
  <c r="Q55" i="5"/>
  <c r="V55" i="5" s="1"/>
  <c r="G21" i="1" s="1"/>
  <c r="T54" i="5"/>
  <c r="S54" i="5"/>
  <c r="R54" i="5"/>
  <c r="Q54" i="5"/>
  <c r="V54" i="5" s="1"/>
  <c r="G20" i="1" s="1"/>
  <c r="T53" i="5"/>
  <c r="S53" i="5"/>
  <c r="R53" i="5"/>
  <c r="Q53" i="5"/>
  <c r="V53" i="5" s="1"/>
  <c r="G19" i="1" s="1"/>
  <c r="T52" i="5"/>
  <c r="S52" i="5"/>
  <c r="R52" i="5"/>
  <c r="Q52" i="5"/>
  <c r="V52" i="5" s="1"/>
  <c r="G18" i="1" s="1"/>
  <c r="T51" i="5"/>
  <c r="S51" i="5"/>
  <c r="R51" i="5"/>
  <c r="Q51" i="5"/>
  <c r="T50" i="5"/>
  <c r="S50" i="5"/>
  <c r="R50" i="5"/>
  <c r="Q50" i="5"/>
  <c r="V50" i="5" s="1"/>
  <c r="G16" i="1" s="1"/>
  <c r="T49" i="5"/>
  <c r="S49" i="5"/>
  <c r="R49" i="5"/>
  <c r="Q49" i="5"/>
  <c r="V49" i="5" s="1"/>
  <c r="G15" i="1" s="1"/>
  <c r="T48" i="5"/>
  <c r="S48" i="5"/>
  <c r="R48" i="5"/>
  <c r="Q48" i="5"/>
  <c r="V48" i="5" s="1"/>
  <c r="G14" i="1" s="1"/>
  <c r="T47" i="5"/>
  <c r="S47" i="5"/>
  <c r="R47" i="5"/>
  <c r="Q47" i="5"/>
  <c r="V47" i="5" s="1"/>
  <c r="G13" i="1" s="1"/>
  <c r="T46" i="5"/>
  <c r="S46" i="5"/>
  <c r="R46" i="5"/>
  <c r="Q46" i="5"/>
  <c r="V46" i="5" s="1"/>
  <c r="G12" i="1" s="1"/>
  <c r="T45" i="5"/>
  <c r="S45" i="5"/>
  <c r="R45" i="5"/>
  <c r="Q45" i="5"/>
  <c r="V45" i="5" s="1"/>
  <c r="G11" i="1" s="1"/>
  <c r="T44" i="5"/>
  <c r="S44" i="5"/>
  <c r="R44" i="5"/>
  <c r="Q44" i="5"/>
  <c r="V44" i="5" s="1"/>
  <c r="G10" i="1" s="1"/>
  <c r="T43" i="5"/>
  <c r="S43" i="5"/>
  <c r="R43" i="5"/>
  <c r="Q43" i="5"/>
  <c r="V43" i="5" s="1"/>
  <c r="G9" i="1" s="1"/>
  <c r="T42" i="5"/>
  <c r="S42" i="5"/>
  <c r="R42" i="5"/>
  <c r="Q42" i="5"/>
  <c r="V42" i="5" s="1"/>
  <c r="G8" i="1" s="1"/>
  <c r="T41" i="5"/>
  <c r="S41" i="5"/>
  <c r="R41" i="5"/>
  <c r="Q41" i="5"/>
  <c r="V41" i="5" s="1"/>
  <c r="G7" i="1" s="1"/>
  <c r="T40" i="5"/>
  <c r="S40" i="5"/>
  <c r="R40" i="5"/>
  <c r="Q40" i="5"/>
  <c r="V40" i="5" s="1"/>
  <c r="G6" i="1" s="1"/>
  <c r="T39" i="5"/>
  <c r="S39" i="5"/>
  <c r="R39" i="5"/>
  <c r="Q39" i="5"/>
  <c r="V39" i="5" s="1"/>
  <c r="G5" i="1" s="1"/>
  <c r="T38" i="5"/>
  <c r="S38" i="5"/>
  <c r="R38" i="5"/>
  <c r="Q38" i="5"/>
  <c r="V38" i="5" s="1"/>
  <c r="O38" i="5" s="1"/>
  <c r="G4" i="1" s="1"/>
  <c r="L36" i="5"/>
  <c r="J36" i="5"/>
  <c r="I36" i="5"/>
  <c r="D36" i="5"/>
  <c r="T57" i="4"/>
  <c r="S57" i="4"/>
  <c r="R57" i="4"/>
  <c r="Q57" i="4"/>
  <c r="V57" i="4" s="1"/>
  <c r="F23" i="1" s="1"/>
  <c r="T56" i="4"/>
  <c r="S56" i="4"/>
  <c r="R56" i="4"/>
  <c r="Q56" i="4"/>
  <c r="V56" i="4" s="1"/>
  <c r="F22" i="1" s="1"/>
  <c r="T55" i="4"/>
  <c r="S55" i="4"/>
  <c r="R55" i="4"/>
  <c r="Q55" i="4"/>
  <c r="V55" i="4" s="1"/>
  <c r="F21" i="1" s="1"/>
  <c r="T54" i="4"/>
  <c r="S54" i="4"/>
  <c r="R54" i="4"/>
  <c r="Q54" i="4"/>
  <c r="V54" i="4" s="1"/>
  <c r="F20" i="1" s="1"/>
  <c r="T53" i="4"/>
  <c r="S53" i="4"/>
  <c r="R53" i="4"/>
  <c r="Q53" i="4"/>
  <c r="V53" i="4" s="1"/>
  <c r="F19" i="1" s="1"/>
  <c r="T52" i="4"/>
  <c r="S52" i="4"/>
  <c r="R52" i="4"/>
  <c r="Q52" i="4"/>
  <c r="V52" i="4" s="1"/>
  <c r="F18" i="1" s="1"/>
  <c r="T51" i="4"/>
  <c r="S51" i="4"/>
  <c r="R51" i="4"/>
  <c r="Q51" i="4"/>
  <c r="V51" i="4" s="1"/>
  <c r="F17" i="1" s="1"/>
  <c r="T50" i="4"/>
  <c r="S50" i="4"/>
  <c r="R50" i="4"/>
  <c r="Q50" i="4"/>
  <c r="V50" i="4" s="1"/>
  <c r="F16" i="1" s="1"/>
  <c r="T49" i="4"/>
  <c r="S49" i="4"/>
  <c r="R49" i="4"/>
  <c r="Q49" i="4"/>
  <c r="V49" i="4" s="1"/>
  <c r="F15" i="1" s="1"/>
  <c r="T48" i="4"/>
  <c r="S48" i="4"/>
  <c r="R48" i="4"/>
  <c r="Q48" i="4"/>
  <c r="V48" i="4" s="1"/>
  <c r="F14" i="1" s="1"/>
  <c r="T47" i="4"/>
  <c r="S47" i="4"/>
  <c r="R47" i="4"/>
  <c r="Q47" i="4"/>
  <c r="V47" i="4" s="1"/>
  <c r="F13" i="1" s="1"/>
  <c r="T46" i="4"/>
  <c r="S46" i="4"/>
  <c r="R46" i="4"/>
  <c r="Q46" i="4"/>
  <c r="V46" i="4" s="1"/>
  <c r="F12" i="1" s="1"/>
  <c r="T45" i="4"/>
  <c r="S45" i="4"/>
  <c r="R45" i="4"/>
  <c r="Q45" i="4"/>
  <c r="V45" i="4" s="1"/>
  <c r="F11" i="1" s="1"/>
  <c r="T44" i="4"/>
  <c r="S44" i="4"/>
  <c r="R44" i="4"/>
  <c r="Q44" i="4"/>
  <c r="V44" i="4" s="1"/>
  <c r="F10" i="1" s="1"/>
  <c r="T43" i="4"/>
  <c r="S43" i="4"/>
  <c r="R43" i="4"/>
  <c r="Q43" i="4"/>
  <c r="V43" i="4" s="1"/>
  <c r="F9" i="1" s="1"/>
  <c r="T42" i="4"/>
  <c r="S42" i="4"/>
  <c r="R42" i="4"/>
  <c r="Q42" i="4"/>
  <c r="V42" i="4" s="1"/>
  <c r="F8" i="1" s="1"/>
  <c r="T41" i="4"/>
  <c r="S41" i="4"/>
  <c r="R41" i="4"/>
  <c r="Q41" i="4"/>
  <c r="V41" i="4" s="1"/>
  <c r="F7" i="1" s="1"/>
  <c r="T40" i="4"/>
  <c r="S40" i="4"/>
  <c r="R40" i="4"/>
  <c r="Q40" i="4"/>
  <c r="T39" i="4"/>
  <c r="S39" i="4"/>
  <c r="R39" i="4"/>
  <c r="Q39" i="4"/>
  <c r="V39" i="4" s="1"/>
  <c r="F5" i="1" s="1"/>
  <c r="T38" i="4"/>
  <c r="S38" i="4"/>
  <c r="R38" i="4"/>
  <c r="Q38" i="4"/>
  <c r="V38" i="4" s="1"/>
  <c r="O38" i="4" s="1"/>
  <c r="F4" i="1" s="1"/>
  <c r="L36" i="4"/>
  <c r="J36" i="4"/>
  <c r="I36" i="4"/>
  <c r="D36" i="4"/>
  <c r="V50" i="8"/>
  <c r="J16" i="1" s="1"/>
  <c r="T57" i="3"/>
  <c r="S57" i="3"/>
  <c r="R57" i="3"/>
  <c r="Q57" i="3"/>
  <c r="V57" i="3" s="1"/>
  <c r="E23" i="1" s="1"/>
  <c r="T56" i="3"/>
  <c r="S56" i="3"/>
  <c r="R56" i="3"/>
  <c r="Q56" i="3"/>
  <c r="V56" i="3" s="1"/>
  <c r="E22" i="1" s="1"/>
  <c r="T55" i="3"/>
  <c r="S55" i="3"/>
  <c r="R55" i="3"/>
  <c r="Q55" i="3"/>
  <c r="V55" i="3" s="1"/>
  <c r="E21" i="1" s="1"/>
  <c r="T54" i="3"/>
  <c r="S54" i="3"/>
  <c r="R54" i="3"/>
  <c r="Q54" i="3"/>
  <c r="V54" i="3" s="1"/>
  <c r="E20" i="1" s="1"/>
  <c r="T53" i="3"/>
  <c r="S53" i="3"/>
  <c r="R53" i="3"/>
  <c r="Q53" i="3"/>
  <c r="V53" i="3" s="1"/>
  <c r="E19" i="1" s="1"/>
  <c r="T52" i="3"/>
  <c r="S52" i="3"/>
  <c r="R52" i="3"/>
  <c r="Q52" i="3"/>
  <c r="V52" i="3" s="1"/>
  <c r="E18" i="1" s="1"/>
  <c r="T51" i="3"/>
  <c r="S51" i="3"/>
  <c r="R51" i="3"/>
  <c r="Q51" i="3"/>
  <c r="V51" i="3" s="1"/>
  <c r="E17" i="1" s="1"/>
  <c r="T50" i="3"/>
  <c r="S50" i="3"/>
  <c r="R50" i="3"/>
  <c r="Q50" i="3"/>
  <c r="V50" i="3" s="1"/>
  <c r="E16" i="1" s="1"/>
  <c r="T49" i="3"/>
  <c r="S49" i="3"/>
  <c r="R49" i="3"/>
  <c r="Q49" i="3"/>
  <c r="V49" i="3" s="1"/>
  <c r="E15" i="1" s="1"/>
  <c r="T48" i="3"/>
  <c r="S48" i="3"/>
  <c r="R48" i="3"/>
  <c r="Q48" i="3"/>
  <c r="V48" i="3" s="1"/>
  <c r="E14" i="1" s="1"/>
  <c r="T47" i="3"/>
  <c r="S47" i="3"/>
  <c r="R47" i="3"/>
  <c r="Q47" i="3"/>
  <c r="V47" i="3" s="1"/>
  <c r="E13" i="1" s="1"/>
  <c r="T46" i="3"/>
  <c r="S46" i="3"/>
  <c r="R46" i="3"/>
  <c r="Q46" i="3"/>
  <c r="V46" i="3" s="1"/>
  <c r="E12" i="1" s="1"/>
  <c r="T45" i="3"/>
  <c r="S45" i="3"/>
  <c r="R45" i="3"/>
  <c r="Q45" i="3"/>
  <c r="V45" i="3" s="1"/>
  <c r="E11" i="1" s="1"/>
  <c r="T44" i="3"/>
  <c r="S44" i="3"/>
  <c r="R44" i="3"/>
  <c r="Q44" i="3"/>
  <c r="V44" i="3" s="1"/>
  <c r="E10" i="1" s="1"/>
  <c r="T43" i="3"/>
  <c r="S43" i="3"/>
  <c r="R43" i="3"/>
  <c r="Q43" i="3"/>
  <c r="V43" i="3" s="1"/>
  <c r="E9" i="1" s="1"/>
  <c r="T42" i="3"/>
  <c r="S42" i="3"/>
  <c r="R42" i="3"/>
  <c r="Q42" i="3"/>
  <c r="V42" i="3" s="1"/>
  <c r="E8" i="1" s="1"/>
  <c r="T41" i="3"/>
  <c r="S41" i="3"/>
  <c r="R41" i="3"/>
  <c r="Q41" i="3"/>
  <c r="V41" i="3" s="1"/>
  <c r="E7" i="1" s="1"/>
  <c r="T40" i="3"/>
  <c r="S40" i="3"/>
  <c r="R40" i="3"/>
  <c r="Q40" i="3"/>
  <c r="V40" i="3" s="1"/>
  <c r="E6" i="1" s="1"/>
  <c r="T39" i="3"/>
  <c r="S39" i="3"/>
  <c r="R39" i="3"/>
  <c r="Q39" i="3"/>
  <c r="V39" i="3" s="1"/>
  <c r="E5" i="1" s="1"/>
  <c r="T38" i="3"/>
  <c r="S38" i="3"/>
  <c r="R38" i="3"/>
  <c r="Q38" i="3"/>
  <c r="V38" i="3" s="1"/>
  <c r="O38" i="3" s="1"/>
  <c r="E4" i="1" s="1"/>
  <c r="L36" i="3"/>
  <c r="J36" i="3"/>
  <c r="I36" i="3"/>
  <c r="D36" i="3"/>
  <c r="D34" i="3"/>
  <c r="D33" i="3"/>
  <c r="O20" i="3"/>
  <c r="M20" i="3"/>
  <c r="G20" i="3"/>
  <c r="E20" i="3"/>
  <c r="O19" i="3"/>
  <c r="M19" i="3"/>
  <c r="G19" i="3"/>
  <c r="E19" i="3"/>
  <c r="M18" i="3"/>
  <c r="E18" i="3"/>
  <c r="O14" i="3"/>
  <c r="M14" i="3"/>
  <c r="G14" i="3"/>
  <c r="E14" i="3"/>
  <c r="O13" i="3"/>
  <c r="M13" i="3"/>
  <c r="G13" i="3"/>
  <c r="E13" i="3"/>
  <c r="M12" i="3"/>
  <c r="E12" i="3"/>
  <c r="T57" i="2"/>
  <c r="R57" i="2"/>
  <c r="Q57" i="2"/>
  <c r="T56" i="2"/>
  <c r="R56" i="2"/>
  <c r="Q56" i="2"/>
  <c r="T55" i="2"/>
  <c r="R55" i="2"/>
  <c r="Q55" i="2"/>
  <c r="T54" i="2"/>
  <c r="R54" i="2"/>
  <c r="Q54" i="2"/>
  <c r="V54" i="2" s="1"/>
  <c r="T53" i="2"/>
  <c r="R53" i="2"/>
  <c r="Q53" i="2"/>
  <c r="T52" i="2"/>
  <c r="R52" i="2"/>
  <c r="Q52" i="2"/>
  <c r="T51" i="2"/>
  <c r="D34" i="2"/>
  <c r="D33" i="2"/>
  <c r="O20" i="2"/>
  <c r="M20" i="2"/>
  <c r="G20" i="2"/>
  <c r="E20" i="2"/>
  <c r="O19" i="2"/>
  <c r="M19" i="2"/>
  <c r="G19" i="2"/>
  <c r="E19" i="2"/>
  <c r="M18" i="2"/>
  <c r="E18" i="2"/>
  <c r="O14" i="2"/>
  <c r="M14" i="2"/>
  <c r="G14" i="2"/>
  <c r="E14" i="2"/>
  <c r="O13" i="2"/>
  <c r="M13" i="2"/>
  <c r="G13" i="2"/>
  <c r="E13" i="2"/>
  <c r="M12" i="2"/>
  <c r="E12" i="2"/>
  <c r="V57" i="9"/>
  <c r="K23" i="1" s="1"/>
  <c r="V47" i="9"/>
  <c r="K13" i="1" s="1"/>
  <c r="V56" i="8"/>
  <c r="J22" i="1" s="1"/>
  <c r="V54" i="8"/>
  <c r="J20" i="1" s="1"/>
  <c r="R51" i="2"/>
  <c r="Q51" i="2"/>
  <c r="T50" i="2"/>
  <c r="S50" i="2"/>
  <c r="R50" i="2"/>
  <c r="Q50" i="2"/>
  <c r="T49" i="2"/>
  <c r="S49" i="2"/>
  <c r="R49" i="2"/>
  <c r="Q49" i="2"/>
  <c r="T48" i="2"/>
  <c r="S48" i="2"/>
  <c r="R48" i="2"/>
  <c r="Q48" i="2"/>
  <c r="T47" i="2"/>
  <c r="S47" i="2"/>
  <c r="R47" i="2"/>
  <c r="Q47" i="2"/>
  <c r="V47" i="2" s="1"/>
  <c r="T46" i="2"/>
  <c r="S46" i="2"/>
  <c r="R46" i="2"/>
  <c r="Q46" i="2"/>
  <c r="V46" i="2" s="1"/>
  <c r="T45" i="2"/>
  <c r="S45" i="2"/>
  <c r="R45" i="2"/>
  <c r="Q45" i="2"/>
  <c r="T44" i="2"/>
  <c r="S44" i="2"/>
  <c r="R44" i="2"/>
  <c r="Q44" i="2"/>
  <c r="T43" i="2"/>
  <c r="S43" i="2"/>
  <c r="R43" i="2"/>
  <c r="Q43" i="2"/>
  <c r="T42" i="2"/>
  <c r="S42" i="2"/>
  <c r="R42" i="2"/>
  <c r="Q42" i="2"/>
  <c r="T41" i="2"/>
  <c r="S41" i="2"/>
  <c r="R41" i="2"/>
  <c r="Q41" i="2"/>
  <c r="T40" i="2"/>
  <c r="S40" i="2"/>
  <c r="R40" i="2"/>
  <c r="Q40" i="2"/>
  <c r="T39" i="2"/>
  <c r="S39" i="2"/>
  <c r="R39" i="2"/>
  <c r="Q39" i="2"/>
  <c r="T38" i="2"/>
  <c r="S38" i="2"/>
  <c r="R38" i="2"/>
  <c r="Q38" i="2"/>
  <c r="L36" i="2"/>
  <c r="J36" i="2"/>
  <c r="I36" i="2"/>
  <c r="D36" i="2"/>
  <c r="V54" i="9"/>
  <c r="K20" i="1" s="1"/>
  <c r="V52" i="9"/>
  <c r="K18" i="1" s="1"/>
  <c r="V48" i="9"/>
  <c r="V55" i="7"/>
  <c r="I21" i="1" s="1"/>
  <c r="V54" i="7"/>
  <c r="I20" i="1" s="1"/>
  <c r="K14" i="1"/>
  <c r="R57" i="11"/>
  <c r="R55" i="11"/>
  <c r="T52" i="11"/>
  <c r="T51" i="11"/>
  <c r="Q51" i="11"/>
  <c r="V51" i="11" s="1"/>
  <c r="M17" i="1" s="1"/>
  <c r="R49" i="11"/>
  <c r="R48" i="11"/>
  <c r="T46" i="11"/>
  <c r="R46" i="11"/>
  <c r="R44" i="11"/>
  <c r="Q44" i="11"/>
  <c r="V44" i="11" s="1"/>
  <c r="M10" i="1" s="1"/>
  <c r="Q43" i="11"/>
  <c r="V43" i="11" s="1"/>
  <c r="M9" i="1" s="1"/>
  <c r="H20" i="11"/>
  <c r="E19" i="11"/>
  <c r="M14" i="11"/>
  <c r="E14" i="11"/>
  <c r="E13" i="11"/>
  <c r="M12" i="11"/>
  <c r="R57" i="10"/>
  <c r="T56" i="10"/>
  <c r="R56" i="10"/>
  <c r="R55" i="10"/>
  <c r="T54" i="10"/>
  <c r="T53" i="10"/>
  <c r="Q53" i="10"/>
  <c r="V53" i="10" s="1"/>
  <c r="L19" i="1" s="1"/>
  <c r="Q49" i="10"/>
  <c r="V49" i="10" s="1"/>
  <c r="L15" i="1" s="1"/>
  <c r="T45" i="10"/>
  <c r="Q45" i="10"/>
  <c r="V45" i="10" s="1"/>
  <c r="L11" i="1" s="1"/>
  <c r="D33" i="10"/>
  <c r="M20" i="10"/>
  <c r="M14" i="10"/>
  <c r="M12" i="10"/>
  <c r="V53" i="9"/>
  <c r="K19" i="1" s="1"/>
  <c r="V50" i="9"/>
  <c r="K16" i="1" s="1"/>
  <c r="V52" i="8"/>
  <c r="J18" i="1" s="1"/>
  <c r="V49" i="2" l="1"/>
  <c r="O49" i="2" s="1"/>
  <c r="D15" i="1" s="1"/>
  <c r="V44" i="2"/>
  <c r="V41" i="2"/>
  <c r="O46" i="2"/>
  <c r="D12" i="1" s="1"/>
  <c r="O47" i="2"/>
  <c r="D13" i="1" s="1"/>
  <c r="O41" i="2"/>
  <c r="D7" i="1" s="1"/>
  <c r="O44" i="2"/>
  <c r="D10" i="1" s="1"/>
  <c r="O54" i="2"/>
  <c r="D20" i="1" s="1"/>
  <c r="V42" i="2"/>
  <c r="V39" i="2"/>
  <c r="V52" i="2"/>
  <c r="V57" i="2"/>
  <c r="V56" i="2"/>
  <c r="O56" i="2" s="1"/>
  <c r="D22" i="1" s="1"/>
  <c r="V50" i="2"/>
  <c r="V48" i="2"/>
  <c r="V53" i="2"/>
  <c r="V51" i="2"/>
  <c r="V45" i="2"/>
  <c r="V38" i="2"/>
  <c r="O38" i="2" s="1"/>
  <c r="D4" i="1" s="1"/>
  <c r="V40" i="2"/>
  <c r="V43" i="2"/>
  <c r="V55" i="2"/>
  <c r="V38" i="12"/>
  <c r="O38" i="12" s="1"/>
  <c r="N4" i="1" s="1"/>
  <c r="M20" i="1"/>
  <c r="V52" i="11"/>
  <c r="M18" i="1" s="1"/>
  <c r="V50" i="11"/>
  <c r="M16" i="1" s="1"/>
  <c r="V47" i="11"/>
  <c r="M13" i="1" s="1"/>
  <c r="V46" i="11"/>
  <c r="M12" i="1" s="1"/>
  <c r="V45" i="11"/>
  <c r="M11" i="1" s="1"/>
  <c r="L14" i="1"/>
  <c r="V47" i="10"/>
  <c r="L13" i="1" s="1"/>
  <c r="V46" i="10"/>
  <c r="L12" i="1" s="1"/>
  <c r="V44" i="10"/>
  <c r="L10" i="1" s="1"/>
  <c r="P14" i="10"/>
  <c r="V41" i="11"/>
  <c r="M7" i="1" s="1"/>
  <c r="V55" i="10"/>
  <c r="L21" i="1" s="1"/>
  <c r="V54" i="10"/>
  <c r="L20" i="1" s="1"/>
  <c r="H20" i="9"/>
  <c r="P20" i="8"/>
  <c r="H20" i="8"/>
  <c r="P14" i="8"/>
  <c r="H14" i="8"/>
  <c r="H20" i="7"/>
  <c r="P20" i="4"/>
  <c r="P20" i="6"/>
  <c r="H20" i="6"/>
  <c r="V51" i="5"/>
  <c r="G17" i="1" s="1"/>
  <c r="P20" i="3"/>
  <c r="H20" i="3"/>
  <c r="P14" i="3"/>
  <c r="H14" i="3"/>
  <c r="P20" i="2"/>
  <c r="H20" i="2"/>
  <c r="P14" i="2"/>
  <c r="H14" i="2"/>
  <c r="I22" i="1"/>
  <c r="H20" i="5"/>
  <c r="L18" i="1"/>
  <c r="V42" i="11"/>
  <c r="M8" i="1" s="1"/>
  <c r="H20" i="10"/>
  <c r="P20" i="12"/>
  <c r="H20" i="13"/>
  <c r="P14" i="7"/>
  <c r="P14" i="5"/>
  <c r="P14" i="12"/>
  <c r="P14" i="6"/>
  <c r="H14" i="5"/>
  <c r="H20" i="15"/>
  <c r="P20" i="14"/>
  <c r="V49" i="11"/>
  <c r="M15" i="1" s="1"/>
  <c r="V56" i="10"/>
  <c r="L22" i="1" s="1"/>
  <c r="H20" i="12"/>
  <c r="H14" i="12"/>
  <c r="P14" i="13"/>
  <c r="H14" i="13"/>
  <c r="V54" i="12"/>
  <c r="N20" i="1" s="1"/>
  <c r="P20" i="9"/>
  <c r="H14" i="6"/>
  <c r="H20" i="4"/>
  <c r="V55" i="15"/>
  <c r="Q21" i="1" s="1"/>
  <c r="P20" i="15"/>
  <c r="V55" i="11"/>
  <c r="M21" i="1" s="1"/>
  <c r="V50" i="10"/>
  <c r="L16" i="1" s="1"/>
  <c r="V55" i="14"/>
  <c r="P21" i="1" s="1"/>
  <c r="V54" i="14"/>
  <c r="P20" i="1" s="1"/>
  <c r="H14" i="14"/>
  <c r="H14" i="4"/>
  <c r="V40" i="4"/>
  <c r="F6" i="1" s="1"/>
  <c r="P20" i="13"/>
  <c r="P14" i="14"/>
  <c r="P20" i="7"/>
  <c r="H14" i="7"/>
  <c r="P20" i="5"/>
  <c r="V49" i="15"/>
  <c r="Q15" i="1" s="1"/>
  <c r="M14" i="1"/>
  <c r="V57" i="10"/>
  <c r="L23" i="1" s="1"/>
  <c r="P14" i="9"/>
  <c r="H14" i="9"/>
  <c r="O50" i="2" l="1"/>
  <c r="D16" i="1" s="1"/>
  <c r="O57" i="2"/>
  <c r="D23" i="1" s="1"/>
  <c r="O51" i="2"/>
  <c r="D17" i="1" s="1"/>
  <c r="O45" i="2"/>
  <c r="D11" i="1" s="1"/>
  <c r="O48" i="2"/>
  <c r="D14" i="1" s="1"/>
  <c r="D21" i="1"/>
  <c r="O55" i="2"/>
  <c r="O39" i="2"/>
  <c r="D5" i="1" s="1"/>
  <c r="O40" i="2"/>
  <c r="D6" i="1" s="1"/>
  <c r="O53" i="2"/>
  <c r="D19" i="1" s="1"/>
  <c r="O52" i="2"/>
  <c r="D18" i="1" s="1"/>
  <c r="O43" i="2"/>
  <c r="D9" i="1" s="1"/>
  <c r="O42" i="2"/>
  <c r="D8" i="1" s="1"/>
</calcChain>
</file>

<file path=xl/sharedStrings.xml><?xml version="1.0" encoding="utf-8"?>
<sst xmlns="http://schemas.openxmlformats.org/spreadsheetml/2006/main" count="1838" uniqueCount="136">
  <si>
    <t>Name</t>
  </si>
  <si>
    <t>Data File</t>
  </si>
  <si>
    <t>Acq. Date-Time</t>
  </si>
  <si>
    <t>Codeine</t>
  </si>
  <si>
    <t>Amphetamine</t>
  </si>
  <si>
    <t>Norfentanyl</t>
  </si>
  <si>
    <t>Norcarfentanil</t>
  </si>
  <si>
    <t>Xylazine</t>
  </si>
  <si>
    <t>Heroin</t>
  </si>
  <si>
    <t>Cocaine</t>
  </si>
  <si>
    <t>Acetyl Fentanyl</t>
  </si>
  <si>
    <t>Acryl Fentanyl</t>
  </si>
  <si>
    <t>Fentanyl</t>
  </si>
  <si>
    <t>4-ANPP</t>
  </si>
  <si>
    <t>para-Fluorofentanyl</t>
  </si>
  <si>
    <t>Carfentanil</t>
  </si>
  <si>
    <t>Lorazepam</t>
  </si>
  <si>
    <t>Run Comments</t>
  </si>
  <si>
    <t>Reviewer:</t>
  </si>
  <si>
    <t>QC Criteria</t>
  </si>
  <si>
    <t>Paste LRL and QCH Results in the light blue shaded areas. Paste LRL results in row 17 and QCH results in row 18.</t>
  </si>
  <si>
    <t>Opening QC</t>
  </si>
  <si>
    <t xml:space="preserve">QC Low (LRL) </t>
  </si>
  <si>
    <t>Response</t>
  </si>
  <si>
    <t>Retention Time</t>
  </si>
  <si>
    <t xml:space="preserve">QC High </t>
  </si>
  <si>
    <t>25% of Lowest</t>
  </si>
  <si>
    <t>Run Value</t>
  </si>
  <si>
    <t>Pass/Fail</t>
  </si>
  <si>
    <t>Characterization</t>
  </si>
  <si>
    <t>Analytical</t>
  </si>
  <si>
    <t>Avg</t>
  </si>
  <si>
    <t>Qualifier</t>
  </si>
  <si>
    <t>IS</t>
  </si>
  <si>
    <t>Closing QC</t>
  </si>
  <si>
    <t>Sample</t>
  </si>
  <si>
    <t>RT</t>
  </si>
  <si>
    <t>Resp.</t>
  </si>
  <si>
    <t>MI</t>
  </si>
  <si>
    <t>S/N</t>
  </si>
  <si>
    <t>RR</t>
  </si>
  <si>
    <t>Rel. Resp.</t>
  </si>
  <si>
    <t>Ratio</t>
  </si>
  <si>
    <t>Opening QCL</t>
  </si>
  <si>
    <t>Opening QCH</t>
  </si>
  <si>
    <t>Closing QCL</t>
  </si>
  <si>
    <t>Closing QCH</t>
  </si>
  <si>
    <t>Sample Criteria</t>
  </si>
  <si>
    <t>Sample Criteria QC</t>
  </si>
  <si>
    <r>
      <t xml:space="preserve">Paste Sample Results in the light orange shaded areas.If more than 10 samples were analyzed in the bracket, add rows and drag down formulas.
Conditional formatting will highlight </t>
    </r>
    <r>
      <rPr>
        <b/>
        <i/>
        <sz val="12"/>
        <color rgb="FFC00000"/>
        <rFont val="Calibri"/>
        <family val="2"/>
        <scheme val="minor"/>
      </rPr>
      <t>RED</t>
    </r>
    <r>
      <rPr>
        <i/>
        <sz val="12"/>
        <color theme="1"/>
        <rFont val="Calibri"/>
        <family val="2"/>
        <scheme val="minor"/>
      </rPr>
      <t xml:space="preserve"> if the sample fails for the criteria and </t>
    </r>
    <r>
      <rPr>
        <b/>
        <i/>
        <sz val="12"/>
        <color theme="9" tint="-0.249977111117893"/>
        <rFont val="Calibri"/>
        <family val="2"/>
        <scheme val="minor"/>
      </rPr>
      <t>GREEN</t>
    </r>
    <r>
      <rPr>
        <i/>
        <sz val="12"/>
        <color theme="1"/>
        <rFont val="Calibri"/>
        <family val="2"/>
        <scheme val="minor"/>
      </rPr>
      <t xml:space="preserve"> if it passes for the criteria. </t>
    </r>
    <r>
      <rPr>
        <b/>
        <i/>
        <u/>
        <sz val="12"/>
        <color theme="1"/>
        <rFont val="Calibri"/>
        <family val="2"/>
        <scheme val="minor"/>
      </rPr>
      <t>All</t>
    </r>
    <r>
      <rPr>
        <i/>
        <sz val="12"/>
        <color theme="1"/>
        <rFont val="Calibri"/>
        <family val="2"/>
        <scheme val="minor"/>
      </rPr>
      <t xml:space="preserve"> criteria must be </t>
    </r>
    <r>
      <rPr>
        <b/>
        <i/>
        <sz val="12"/>
        <color theme="9" tint="-0.249977111117893"/>
        <rFont val="Calibri"/>
        <family val="2"/>
        <scheme val="minor"/>
      </rPr>
      <t>GREEN</t>
    </r>
    <r>
      <rPr>
        <i/>
        <sz val="12"/>
        <color theme="1"/>
        <rFont val="Calibri"/>
        <family val="2"/>
        <scheme val="minor"/>
      </rPr>
      <t xml:space="preserve"> for a sample to be considered a DETECT.</t>
    </r>
  </si>
  <si>
    <t>20 Samples between QCs?</t>
  </si>
  <si>
    <t>Yes</t>
  </si>
  <si>
    <t>1. Retention Time</t>
  </si>
  <si>
    <t>2. Analyte Response</t>
  </si>
  <si>
    <t>3. Resp. Ratio</t>
  </si>
  <si>
    <t>4. Qualifier</t>
  </si>
  <si>
    <t>5. ISTD</t>
  </si>
  <si>
    <t>Sample Result</t>
  </si>
  <si>
    <t xml:space="preserve"> In-Run QCL RT</t>
  </si>
  <si>
    <t>In-Run QCL Response Threshold</t>
  </si>
  <si>
    <t>In-Run QCL RR</t>
  </si>
  <si>
    <t>Qualifier Ion Ratio Limits</t>
  </si>
  <si>
    <t>Response Threshold</t>
  </si>
  <si>
    <t>RT Limits</t>
  </si>
  <si>
    <t>Rel. Resp. From LRL</t>
  </si>
  <si>
    <t>Detect/ND</t>
  </si>
  <si>
    <t>RT PASS?</t>
  </si>
  <si>
    <t>ANALYTE RESP. PASS?</t>
  </si>
  <si>
    <t>IS PASS?</t>
  </si>
  <si>
    <t>RR PASS?</t>
  </si>
  <si>
    <t>Qual Ion Ratio &lt;0</t>
  </si>
  <si>
    <t>All criteria met?</t>
  </si>
  <si>
    <t xml:space="preserve"> RAW Run data *PASTE HERE*</t>
  </si>
  <si>
    <t>Codeine Results</t>
  </si>
  <si>
    <t>Qualifier (300.2 -&gt; 215.1) Method</t>
  </si>
  <si>
    <t>Qualifier (300.2 -&gt; 215.1) Results</t>
  </si>
  <si>
    <t>Codeine D3 (ISTD) Results</t>
  </si>
  <si>
    <t>Avg In-Run RT</t>
  </si>
  <si>
    <t>Amphetamine Results</t>
  </si>
  <si>
    <t>Qualifier (136.1 -&gt; 119.0) Method</t>
  </si>
  <si>
    <t>Qualifier (136.1 -&gt; 119.0) Results</t>
  </si>
  <si>
    <t>Amphetamine D5 (ISTD) Results</t>
  </si>
  <si>
    <t>Norfentanyl Results</t>
  </si>
  <si>
    <t>Qualifier (233.2 -&gt; 84.1) Method</t>
  </si>
  <si>
    <t>Qualifier (233.2 -&gt; 84.1) Results</t>
  </si>
  <si>
    <t>Norfentanyl D5 (ISTD) Results</t>
  </si>
  <si>
    <t>Norcarfentanil Results</t>
  </si>
  <si>
    <t>Qualifier (291.2 -&gt; 142.1) Method</t>
  </si>
  <si>
    <t>Qualifier (291.2 -&gt; 142.1) Results</t>
  </si>
  <si>
    <t>Xylazine Results</t>
  </si>
  <si>
    <t>Qualifier (221.1 -&gt; 72.0) Method</t>
  </si>
  <si>
    <t>Qualifier (221.1 -&gt; 72.0) Results</t>
  </si>
  <si>
    <t>Xylazine D6 (ISTD) Results</t>
  </si>
  <si>
    <t>Heroin Results</t>
  </si>
  <si>
    <t>Qualifier (370.2 -&gt; 211.0) Method</t>
  </si>
  <si>
    <t>Qualifier (370.2 -&gt; 211.0) Results</t>
  </si>
  <si>
    <t>Heroin D3 (ISTD) Results</t>
  </si>
  <si>
    <t>Cocaine Results</t>
  </si>
  <si>
    <t>Qualifier (304.2 -&gt; 82.1) Method</t>
  </si>
  <si>
    <t>Qualifier (304.2 -&gt; 82.1) Results</t>
  </si>
  <si>
    <t>Cocaine D3 (ISTD) Results</t>
  </si>
  <si>
    <t>Acetyl Fetanyl Results</t>
  </si>
  <si>
    <t>Qualifier (323.2 -&gt; 188.1) Method</t>
  </si>
  <si>
    <t>Qualifier (323.2 -&gt; 188.1) Results</t>
  </si>
  <si>
    <t>Acetylfentanyl-13C6 (ISTD) Results</t>
  </si>
  <si>
    <t>Acryl Fentanyl Results</t>
  </si>
  <si>
    <t>Qualifier (335.2 -&gt; 188.1) Method</t>
  </si>
  <si>
    <t>Qualifier (335.2 -&gt; 188.1) Results</t>
  </si>
  <si>
    <t>Acryl Fentanyl D5 (ISTD) Results</t>
  </si>
  <si>
    <t>Fentanyl Results</t>
  </si>
  <si>
    <t>Qualifier (337.2 -&gt; 188.1) Method</t>
  </si>
  <si>
    <t>Qualifier (337.2 -&gt; 188.1) Results</t>
  </si>
  <si>
    <t>Fentanyl-13C6 (ISTD) Results</t>
  </si>
  <si>
    <t>4-ANPP Results</t>
  </si>
  <si>
    <t>Qualifier (281.2 -&gt; 188.1) Method</t>
  </si>
  <si>
    <t>Qualifier (281.2 -&gt; 188.1) Results</t>
  </si>
  <si>
    <t>4-ANPP-13C6 (ISTD) Results</t>
  </si>
  <si>
    <t>para-Fluorofentanyl Results</t>
  </si>
  <si>
    <t>Qualifier (355.2 -&gt; 188.1) Method</t>
  </si>
  <si>
    <t>Qualifier (355.2 -&gt; 188.1) Results</t>
  </si>
  <si>
    <t>Parafluorofentanyl-13C6 (ISTD) Results</t>
  </si>
  <si>
    <t>Carfentanil Results</t>
  </si>
  <si>
    <t>Qualifier (395.2 -&gt; 335.2) Method</t>
  </si>
  <si>
    <t>Qualifier (395.2 -&gt; 335.2) Results</t>
  </si>
  <si>
    <t>Carfentanil-13C6 (ISTD) Results</t>
  </si>
  <si>
    <t>Lorazepam Results</t>
  </si>
  <si>
    <t>Qualifier (321.0 -&gt; 229.0) Method</t>
  </si>
  <si>
    <t>Qualifier (321.0 -&gt; 229.0) Results</t>
  </si>
  <si>
    <t>Lorazepam 13C2D4 (ISTD) Results</t>
  </si>
  <si>
    <t>Method/SOP</t>
  </si>
  <si>
    <t xml:space="preserve">Batch ID: </t>
  </si>
  <si>
    <t xml:space="preserve"> Column Lot #: </t>
  </si>
  <si>
    <t xml:space="preserve">Instrument: </t>
  </si>
  <si>
    <t xml:space="preserve">Urine Lot #: </t>
  </si>
  <si>
    <t xml:space="preserve">Analyst: </t>
  </si>
  <si>
    <t xml:space="preserve">Standards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</si>
</sst>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"/>
    <numFmt numFmtId="167" formatCode="m/d/yy\ h:mm;@"/>
    <numFmt numFmtId="168" formatCode="0.0"/>
  </numFmts>
  <fonts count="14" x14ac:knownFonts="1"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sz val="8"/>
      <color theme="1"/>
      <name val="Calibri"/>
    </font>
    <font>
      <b/>
      <i/>
      <sz val="12"/>
      <color theme="1"/>
      <name val="Calibri"/>
    </font>
    <font>
      <i/>
      <sz val="12"/>
      <color theme="1"/>
      <name val="Calibri"/>
    </font>
    <font>
      <b/>
      <sz val="14"/>
      <color theme="1"/>
      <name val="Calibri"/>
    </font>
    <font>
      <b/>
      <i/>
      <sz val="12"/>
      <color rgb="FFC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9" tint="-0.249977111117893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1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3" tint="0.39997558519241921"/>
        <bgColor indexed="65"/>
      </patternFill>
    </fill>
    <fill>
      <patternFill patternType="solid">
        <fgColor theme="3" tint="0.59996337778862885"/>
        <bgColor indexed="65"/>
      </patternFill>
    </fill>
    <fill>
      <patternFill patternType="solid">
        <fgColor theme="0"/>
      </patternFill>
    </fill>
    <fill>
      <patternFill patternType="solid">
        <fgColor rgb="FFCCCCFF"/>
      </patternFill>
    </fill>
    <fill>
      <patternFill patternType="solid">
        <fgColor rgb="FFCC99FF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0" tint="-0.249977111117893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0" fillId="7" borderId="2" xfId="0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166" fontId="0" fillId="8" borderId="2" xfId="0" applyNumberForma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0" fillId="9" borderId="0" xfId="0" applyFill="1"/>
    <xf numFmtId="0" fontId="0" fillId="9" borderId="0" xfId="0" applyFill="1" applyAlignment="1">
      <alignment horizontal="center" vertical="center" wrapText="1"/>
    </xf>
    <xf numFmtId="0" fontId="0" fillId="9" borderId="0" xfId="0" applyFill="1" applyAlignment="1">
      <alignment vertical="center" wrapText="1"/>
    </xf>
    <xf numFmtId="0" fontId="0" fillId="9" borderId="5" xfId="0" applyFill="1" applyBorder="1" applyAlignment="1">
      <alignment vertical="center" wrapText="1"/>
    </xf>
    <xf numFmtId="0" fontId="0" fillId="5" borderId="1" xfId="0" applyFill="1" applyBorder="1"/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164" fontId="0" fillId="12" borderId="2" xfId="0" applyNumberFormat="1" applyFill="1" applyBorder="1"/>
    <xf numFmtId="0" fontId="0" fillId="10" borderId="2" xfId="0" applyFill="1" applyBorder="1"/>
    <xf numFmtId="0" fontId="0" fillId="9" borderId="0" xfId="0" applyFill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2" xfId="0" applyFill="1" applyBorder="1"/>
    <xf numFmtId="167" fontId="0" fillId="10" borderId="2" xfId="0" applyNumberFormat="1" applyFill="1" applyBorder="1"/>
    <xf numFmtId="0" fontId="0" fillId="4" borderId="2" xfId="0" applyFill="1" applyBorder="1" applyAlignment="1">
      <alignment horizontal="left" vertical="center" wrapText="1"/>
    </xf>
    <xf numFmtId="0" fontId="0" fillId="13" borderId="2" xfId="0" applyFill="1" applyBorder="1" applyAlignment="1">
      <alignment horizontal="center" vertical="center"/>
    </xf>
    <xf numFmtId="167" fontId="0" fillId="12" borderId="2" xfId="0" applyNumberFormat="1" applyFill="1" applyBorder="1"/>
    <xf numFmtId="0" fontId="0" fillId="9" borderId="2" xfId="0" applyFill="1" applyBorder="1" applyAlignment="1">
      <alignment horizontal="center" vertical="center"/>
    </xf>
    <xf numFmtId="166" fontId="0" fillId="9" borderId="2" xfId="0" applyNumberFormat="1" applyFill="1" applyBorder="1" applyAlignment="1">
      <alignment horizontal="center" vertical="center"/>
    </xf>
    <xf numFmtId="0" fontId="0" fillId="14" borderId="2" xfId="0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5" borderId="0" xfId="0" applyFill="1"/>
    <xf numFmtId="0" fontId="4" fillId="12" borderId="2" xfId="0" applyFont="1" applyFill="1" applyBorder="1" applyAlignment="1">
      <alignment horizontal="center" vertical="center"/>
    </xf>
    <xf numFmtId="167" fontId="0" fillId="13" borderId="2" xfId="0" applyNumberFormat="1" applyFill="1" applyBorder="1" applyAlignment="1">
      <alignment horizontal="center"/>
    </xf>
    <xf numFmtId="164" fontId="0" fillId="13" borderId="2" xfId="0" applyNumberFormat="1" applyFill="1" applyBorder="1" applyAlignment="1">
      <alignment horizontal="center"/>
    </xf>
    <xf numFmtId="0" fontId="5" fillId="9" borderId="0" xfId="0" applyFont="1" applyFill="1" applyAlignment="1">
      <alignment vertical="center" wrapText="1"/>
    </xf>
    <xf numFmtId="0" fontId="5" fillId="9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14" borderId="12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0" fillId="5" borderId="12" xfId="0" applyFill="1" applyBorder="1"/>
    <xf numFmtId="0" fontId="4" fillId="0" borderId="2" xfId="0" applyFont="1" applyBorder="1" applyAlignment="1">
      <alignment horizontal="center" vertical="center"/>
    </xf>
    <xf numFmtId="0" fontId="6" fillId="14" borderId="13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0" fillId="0" borderId="2" xfId="0" applyBorder="1"/>
    <xf numFmtId="167" fontId="0" fillId="12" borderId="2" xfId="0" applyNumberFormat="1" applyFill="1" applyBorder="1" applyAlignment="1">
      <alignment horizontal="center"/>
    </xf>
    <xf numFmtId="0" fontId="0" fillId="4" borderId="1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65" fontId="0" fillId="0" borderId="11" xfId="0" applyNumberFormat="1" applyBorder="1" applyAlignment="1">
      <alignment vertical="center"/>
    </xf>
    <xf numFmtId="0" fontId="0" fillId="4" borderId="12" xfId="0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15" xfId="0" applyFont="1" applyFill="1" applyBorder="1"/>
    <xf numFmtId="0" fontId="2" fillId="4" borderId="8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/>
    </xf>
    <xf numFmtId="1" fontId="0" fillId="8" borderId="2" xfId="0" applyNumberFormat="1" applyFill="1" applyBorder="1" applyAlignment="1">
      <alignment horizontal="center" vertical="center"/>
    </xf>
    <xf numFmtId="2" fontId="0" fillId="8" borderId="2" xfId="0" applyNumberForma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8" fontId="0" fillId="8" borderId="2" xfId="0" applyNumberFormat="1" applyFill="1" applyBorder="1" applyAlignment="1">
      <alignment horizontal="center" vertical="center"/>
    </xf>
    <xf numFmtId="166" fontId="0" fillId="8" borderId="12" xfId="0" applyNumberFormat="1" applyFill="1" applyBorder="1" applyAlignment="1">
      <alignment vertical="center"/>
    </xf>
    <xf numFmtId="2" fontId="0" fillId="8" borderId="12" xfId="0" applyNumberFormat="1" applyFill="1" applyBorder="1" applyAlignment="1">
      <alignment vertical="center"/>
    </xf>
    <xf numFmtId="168" fontId="0" fillId="8" borderId="12" xfId="0" applyNumberFormat="1" applyFill="1" applyBorder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12" borderId="14" xfId="0" applyFill="1" applyBorder="1" applyAlignment="1">
      <alignment vertical="center"/>
    </xf>
    <xf numFmtId="0" fontId="0" fillId="12" borderId="4" xfId="0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0" fillId="12" borderId="6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0" fillId="12" borderId="8" xfId="0" applyFill="1" applyBorder="1" applyAlignment="1">
      <alignment vertical="center"/>
    </xf>
    <xf numFmtId="0" fontId="0" fillId="0" borderId="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6" borderId="2" xfId="0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/>
    </xf>
    <xf numFmtId="0" fontId="4" fillId="14" borderId="10" xfId="0" applyFont="1" applyFill="1" applyBorder="1" applyAlignment="1">
      <alignment horizontal="center"/>
    </xf>
    <xf numFmtId="0" fontId="4" fillId="14" borderId="11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1" fontId="0" fillId="9" borderId="2" xfId="0" applyNumberFormat="1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5" fillId="4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left" vertical="center"/>
    </xf>
    <xf numFmtId="0" fontId="0" fillId="6" borderId="10" xfId="0" applyFill="1" applyBorder="1" applyAlignment="1">
      <alignment horizontal="left" vertical="center"/>
    </xf>
    <xf numFmtId="0" fontId="0" fillId="6" borderId="11" xfId="0" applyFill="1" applyBorder="1" applyAlignment="1">
      <alignment horizontal="left" vertical="center"/>
    </xf>
    <xf numFmtId="0" fontId="0" fillId="9" borderId="2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68" fontId="0" fillId="9" borderId="2" xfId="0" applyNumberFormat="1" applyFill="1" applyBorder="1" applyAlignment="1">
      <alignment horizontal="center" vertical="center"/>
    </xf>
    <xf numFmtId="168" fontId="0" fillId="9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</cellXfs>
  <cellStyles count="1">
    <cellStyle name="Normal" xfId="0" builtinId="0"/>
  </cellStyles>
  <dxfs count="75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5422223578601"/>
      </font>
      <fill>
        <patternFill>
          <bgColor theme="9" tint="0.7999511703848384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workbookViewId="0">
      <selection activeCell="I41" sqref="I41"/>
    </sheetView>
  </sheetViews>
  <sheetFormatPr defaultRowHeight="15" x14ac:dyDescent="0.25"/>
  <cols>
    <col min="1" max="1" width="15.28515625" customWidth="1"/>
    <col min="2" max="2" width="16.7109375" customWidth="1"/>
    <col min="3" max="3" width="14" customWidth="1"/>
    <col min="4" max="4" width="18.42578125" bestFit="1" customWidth="1"/>
    <col min="5" max="5" width="14" customWidth="1"/>
    <col min="6" max="6" width="11.7109375" customWidth="1"/>
    <col min="7" max="7" width="13.7109375" customWidth="1"/>
    <col min="8" max="8" width="13.28515625" customWidth="1"/>
    <col min="9" max="9" width="13" customWidth="1"/>
    <col min="10" max="10" width="8" customWidth="1"/>
    <col min="11" max="11" width="14.85546875" customWidth="1"/>
    <col min="12" max="12" width="14" customWidth="1"/>
    <col min="13" max="13" width="12.42578125" customWidth="1"/>
    <col min="14" max="14" width="11.140625" customWidth="1"/>
    <col min="15" max="15" width="19" customWidth="1"/>
    <col min="16" max="17" width="10.85546875" customWidth="1"/>
  </cols>
  <sheetData>
    <row r="1" spans="1:17" x14ac:dyDescent="0.25">
      <c r="A1" s="88" t="str">
        <f>Codeine!A4</f>
        <v>Method/SOP</v>
      </c>
      <c r="B1" s="88"/>
      <c r="C1" s="88"/>
      <c r="D1" s="88" t="str">
        <f>Codeine!D4</f>
        <v xml:space="preserve"> Column Lot #: </v>
      </c>
      <c r="E1" s="88"/>
      <c r="F1" s="88"/>
      <c r="G1" s="88"/>
      <c r="H1" s="88" t="str">
        <f>Codeine!H4</f>
        <v xml:space="preserve">Urine Lot #: </v>
      </c>
      <c r="I1" s="88"/>
      <c r="J1" s="88"/>
      <c r="K1" s="88"/>
      <c r="L1" s="88"/>
      <c r="M1" s="88" t="str">
        <f>Codeine!J4</f>
        <v xml:space="preserve">Standards Date: </v>
      </c>
      <c r="N1" s="88"/>
      <c r="O1" s="88"/>
      <c r="P1" s="88"/>
      <c r="Q1" s="88"/>
    </row>
    <row r="2" spans="1:17" x14ac:dyDescent="0.25">
      <c r="A2" s="88" t="str">
        <f>Codeine!A5</f>
        <v xml:space="preserve">Batch ID: </v>
      </c>
      <c r="B2" s="88"/>
      <c r="C2" s="88"/>
      <c r="D2" s="88" t="str">
        <f>Codeine!D5</f>
        <v xml:space="preserve">Instrument: </v>
      </c>
      <c r="E2" s="88"/>
      <c r="F2" s="88"/>
      <c r="G2" s="88"/>
      <c r="H2" s="88" t="str">
        <f>Codeine!H5</f>
        <v xml:space="preserve">Analyst: </v>
      </c>
      <c r="I2" s="88"/>
      <c r="J2" s="88"/>
      <c r="K2" s="88"/>
      <c r="L2" s="88"/>
      <c r="M2" s="88" t="str">
        <f>Codeine!J5</f>
        <v>Reviewer:</v>
      </c>
      <c r="N2" s="88"/>
      <c r="O2" s="88"/>
      <c r="P2" s="88"/>
      <c r="Q2" s="88"/>
    </row>
    <row r="3" spans="1:17" x14ac:dyDescent="0.25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</row>
    <row r="4" spans="1:17" x14ac:dyDescent="0.25">
      <c r="A4" s="28">
        <f>Norfentanyl!A38</f>
        <v>0</v>
      </c>
      <c r="B4" s="28">
        <f>Norfentanyl!B38</f>
        <v>0</v>
      </c>
      <c r="C4" s="36">
        <f>Norfentanyl!C38</f>
        <v>0</v>
      </c>
      <c r="D4" s="21" t="e">
        <f>Codeine!O38</f>
        <v>#DIV/0!</v>
      </c>
      <c r="E4" s="21" t="e">
        <f>Amphetamine!O38</f>
        <v>#DIV/0!</v>
      </c>
      <c r="F4" s="21" t="e">
        <f>Norfentanyl!O38</f>
        <v>#DIV/0!</v>
      </c>
      <c r="G4" s="21" t="e">
        <f>Norcarfentanil!O38</f>
        <v>#DIV/0!</v>
      </c>
      <c r="H4" s="21" t="e">
        <f>Xylazine!O38</f>
        <v>#DIV/0!</v>
      </c>
      <c r="I4" s="21" t="e">
        <f>Heroin!O38</f>
        <v>#DIV/0!</v>
      </c>
      <c r="J4" s="21" t="e">
        <f>Cocaine!O38</f>
        <v>#DIV/0!</v>
      </c>
      <c r="K4" s="21" t="e">
        <f>'Acetyl Fentanyl'!O38</f>
        <v>#DIV/0!</v>
      </c>
      <c r="L4" s="21" t="e">
        <f>'Acryl Fentanyl'!O38</f>
        <v>#DIV/0!</v>
      </c>
      <c r="M4" s="21" t="e">
        <f>Fentanyl!O38</f>
        <v>#DIV/0!</v>
      </c>
      <c r="N4" s="21" t="e">
        <f>'4-ANPP'!O38</f>
        <v>#DIV/0!</v>
      </c>
      <c r="O4" s="21" t="e">
        <f>'para-Fluorofentanyl'!O38</f>
        <v>#DIV/0!</v>
      </c>
      <c r="P4" s="21" t="e">
        <f>Carfentanil!O38</f>
        <v>#DIV/0!</v>
      </c>
      <c r="Q4" s="21" t="e">
        <f>Lorazepam!O38</f>
        <v>#DIV/0!</v>
      </c>
    </row>
    <row r="5" spans="1:17" x14ac:dyDescent="0.25">
      <c r="A5" s="28">
        <f>Norfentanyl!A39</f>
        <v>0</v>
      </c>
      <c r="B5" s="28">
        <f>Norfentanyl!B39</f>
        <v>0</v>
      </c>
      <c r="C5" s="36">
        <f>Norfentanyl!C39</f>
        <v>0</v>
      </c>
      <c r="D5" s="21" t="e">
        <f>Codeine!O39</f>
        <v>#DIV/0!</v>
      </c>
      <c r="E5" s="21" t="e">
        <f>Amphetamine!O39</f>
        <v>#DIV/0!</v>
      </c>
      <c r="F5" s="21" t="e">
        <f>Norfentanyl!O39</f>
        <v>#DIV/0!</v>
      </c>
      <c r="G5" s="21" t="e">
        <f>Norcarfentanil!O39</f>
        <v>#DIV/0!</v>
      </c>
      <c r="H5" s="21" t="e">
        <f>Xylazine!O39</f>
        <v>#DIV/0!</v>
      </c>
      <c r="I5" s="21" t="e">
        <f>Heroin!O39</f>
        <v>#DIV/0!</v>
      </c>
      <c r="J5" s="21" t="e">
        <f>Cocaine!O39</f>
        <v>#DIV/0!</v>
      </c>
      <c r="K5" s="21" t="e">
        <f>'Acetyl Fentanyl'!O39</f>
        <v>#DIV/0!</v>
      </c>
      <c r="L5" s="21" t="e">
        <f>'Acryl Fentanyl'!O39</f>
        <v>#DIV/0!</v>
      </c>
      <c r="M5" s="21" t="e">
        <f>Fentanyl!O39</f>
        <v>#DIV/0!</v>
      </c>
      <c r="N5" s="21" t="e">
        <f>'4-ANPP'!O39</f>
        <v>#DIV/0!</v>
      </c>
      <c r="O5" s="21" t="e">
        <f>'para-Fluorofentanyl'!O39</f>
        <v>#DIV/0!</v>
      </c>
      <c r="P5" s="21" t="e">
        <f>Carfentanil!O39</f>
        <v>#DIV/0!</v>
      </c>
      <c r="Q5" s="21" t="e">
        <f>Lorazepam!O39</f>
        <v>#DIV/0!</v>
      </c>
    </row>
    <row r="6" spans="1:17" x14ac:dyDescent="0.25">
      <c r="A6" s="28">
        <f>Norfentanyl!A40</f>
        <v>0</v>
      </c>
      <c r="B6" s="28">
        <f>Norfentanyl!B40</f>
        <v>0</v>
      </c>
      <c r="C6" s="36">
        <f>Norfentanyl!C40</f>
        <v>0</v>
      </c>
      <c r="D6" s="21" t="e">
        <f>Codeine!O40</f>
        <v>#DIV/0!</v>
      </c>
      <c r="E6" s="21" t="e">
        <f>Amphetamine!O40</f>
        <v>#DIV/0!</v>
      </c>
      <c r="F6" s="21" t="e">
        <f>Norfentanyl!O40</f>
        <v>#DIV/0!</v>
      </c>
      <c r="G6" s="21" t="e">
        <f>Norcarfentanil!O40</f>
        <v>#DIV/0!</v>
      </c>
      <c r="H6" s="21" t="e">
        <f>Xylazine!O40</f>
        <v>#DIV/0!</v>
      </c>
      <c r="I6" s="21" t="e">
        <f>Heroin!O40</f>
        <v>#DIV/0!</v>
      </c>
      <c r="J6" s="21" t="e">
        <f>Cocaine!O40</f>
        <v>#DIV/0!</v>
      </c>
      <c r="K6" s="21" t="e">
        <f>'Acetyl Fentanyl'!O40</f>
        <v>#DIV/0!</v>
      </c>
      <c r="L6" s="21" t="e">
        <f>'Acryl Fentanyl'!O40</f>
        <v>#DIV/0!</v>
      </c>
      <c r="M6" s="21" t="e">
        <f>Fentanyl!O40</f>
        <v>#DIV/0!</v>
      </c>
      <c r="N6" s="21" t="e">
        <f>'4-ANPP'!O40</f>
        <v>#DIV/0!</v>
      </c>
      <c r="O6" s="21" t="e">
        <f>'para-Fluorofentanyl'!O40</f>
        <v>#DIV/0!</v>
      </c>
      <c r="P6" s="21" t="e">
        <f>Carfentanil!O40</f>
        <v>#DIV/0!</v>
      </c>
      <c r="Q6" s="21" t="e">
        <f>Lorazepam!O40</f>
        <v>#DIV/0!</v>
      </c>
    </row>
    <row r="7" spans="1:17" x14ac:dyDescent="0.25">
      <c r="A7" s="28">
        <f>Norfentanyl!A41</f>
        <v>0</v>
      </c>
      <c r="B7" s="28">
        <f>Norfentanyl!B41</f>
        <v>0</v>
      </c>
      <c r="C7" s="36">
        <f>Norfentanyl!C41</f>
        <v>0</v>
      </c>
      <c r="D7" s="21" t="e">
        <f>Codeine!O41</f>
        <v>#DIV/0!</v>
      </c>
      <c r="E7" s="21" t="e">
        <f>Amphetamine!O41</f>
        <v>#DIV/0!</v>
      </c>
      <c r="F7" s="21" t="e">
        <f>Norfentanyl!O41</f>
        <v>#DIV/0!</v>
      </c>
      <c r="G7" s="21" t="e">
        <f>Norcarfentanil!O41</f>
        <v>#DIV/0!</v>
      </c>
      <c r="H7" s="21" t="e">
        <f>Xylazine!O41</f>
        <v>#DIV/0!</v>
      </c>
      <c r="I7" s="21" t="e">
        <f>Heroin!O41</f>
        <v>#DIV/0!</v>
      </c>
      <c r="J7" s="21" t="e">
        <f>Cocaine!O41</f>
        <v>#DIV/0!</v>
      </c>
      <c r="K7" s="21" t="e">
        <f>'Acetyl Fentanyl'!O41</f>
        <v>#DIV/0!</v>
      </c>
      <c r="L7" s="21" t="e">
        <f>'Acryl Fentanyl'!O41</f>
        <v>#DIV/0!</v>
      </c>
      <c r="M7" s="21" t="e">
        <f>Fentanyl!O41</f>
        <v>#DIV/0!</v>
      </c>
      <c r="N7" s="21" t="e">
        <f>'4-ANPP'!O41</f>
        <v>#DIV/0!</v>
      </c>
      <c r="O7" s="21" t="e">
        <f>'para-Fluorofentanyl'!O41</f>
        <v>#DIV/0!</v>
      </c>
      <c r="P7" s="21" t="e">
        <f>Carfentanil!O41</f>
        <v>#DIV/0!</v>
      </c>
      <c r="Q7" s="21" t="e">
        <f>Lorazepam!O41</f>
        <v>#DIV/0!</v>
      </c>
    </row>
    <row r="8" spans="1:17" x14ac:dyDescent="0.25">
      <c r="A8" s="28">
        <f>Norfentanyl!A42</f>
        <v>0</v>
      </c>
      <c r="B8" s="28">
        <f>Norfentanyl!B42</f>
        <v>0</v>
      </c>
      <c r="C8" s="36">
        <f>Norfentanyl!C42</f>
        <v>0</v>
      </c>
      <c r="D8" s="21" t="e">
        <f>Codeine!O42</f>
        <v>#DIV/0!</v>
      </c>
      <c r="E8" s="21" t="e">
        <f>Amphetamine!O42</f>
        <v>#DIV/0!</v>
      </c>
      <c r="F8" s="21" t="e">
        <f>Norfentanyl!O42</f>
        <v>#DIV/0!</v>
      </c>
      <c r="G8" s="21" t="e">
        <f>Norcarfentanil!O42</f>
        <v>#DIV/0!</v>
      </c>
      <c r="H8" s="21" t="e">
        <f>Xylazine!O42</f>
        <v>#DIV/0!</v>
      </c>
      <c r="I8" s="21" t="e">
        <f>Heroin!O42</f>
        <v>#DIV/0!</v>
      </c>
      <c r="J8" s="21" t="e">
        <f>Cocaine!O42</f>
        <v>#DIV/0!</v>
      </c>
      <c r="K8" s="21" t="e">
        <f>'Acetyl Fentanyl'!O42</f>
        <v>#DIV/0!</v>
      </c>
      <c r="L8" s="21" t="e">
        <f>'Acryl Fentanyl'!O42</f>
        <v>#DIV/0!</v>
      </c>
      <c r="M8" s="21" t="e">
        <f>Fentanyl!O42</f>
        <v>#DIV/0!</v>
      </c>
      <c r="N8" s="21" t="e">
        <f>'4-ANPP'!O42</f>
        <v>#DIV/0!</v>
      </c>
      <c r="O8" s="21" t="e">
        <f>'para-Fluorofentanyl'!O42</f>
        <v>#DIV/0!</v>
      </c>
      <c r="P8" s="21" t="e">
        <f>Carfentanil!O42</f>
        <v>#DIV/0!</v>
      </c>
      <c r="Q8" s="21" t="e">
        <f>Lorazepam!O42</f>
        <v>#DIV/0!</v>
      </c>
    </row>
    <row r="9" spans="1:17" x14ac:dyDescent="0.25">
      <c r="A9" s="28">
        <f>Norfentanyl!A43</f>
        <v>0</v>
      </c>
      <c r="B9" s="28">
        <f>Norfentanyl!B43</f>
        <v>0</v>
      </c>
      <c r="C9" s="36">
        <f>Norfentanyl!C43</f>
        <v>0</v>
      </c>
      <c r="D9" s="21" t="e">
        <f>Codeine!O43</f>
        <v>#DIV/0!</v>
      </c>
      <c r="E9" s="21" t="e">
        <f>Amphetamine!O43</f>
        <v>#DIV/0!</v>
      </c>
      <c r="F9" s="21" t="e">
        <f>Norfentanyl!O43</f>
        <v>#DIV/0!</v>
      </c>
      <c r="G9" s="21" t="e">
        <f>Norcarfentanil!O43</f>
        <v>#DIV/0!</v>
      </c>
      <c r="H9" s="21" t="e">
        <f>Xylazine!O43</f>
        <v>#DIV/0!</v>
      </c>
      <c r="I9" s="21" t="e">
        <f>Heroin!O43</f>
        <v>#DIV/0!</v>
      </c>
      <c r="J9" s="21" t="e">
        <f>Cocaine!O43</f>
        <v>#DIV/0!</v>
      </c>
      <c r="K9" s="21" t="e">
        <f>'Acetyl Fentanyl'!O43</f>
        <v>#DIV/0!</v>
      </c>
      <c r="L9" s="21" t="e">
        <f>'Acryl Fentanyl'!O43</f>
        <v>#DIV/0!</v>
      </c>
      <c r="M9" s="21" t="e">
        <f>Fentanyl!O43</f>
        <v>#DIV/0!</v>
      </c>
      <c r="N9" s="21" t="e">
        <f>'4-ANPP'!O43</f>
        <v>#DIV/0!</v>
      </c>
      <c r="O9" s="21" t="e">
        <f>'para-Fluorofentanyl'!O43</f>
        <v>#DIV/0!</v>
      </c>
      <c r="P9" s="21" t="e">
        <f>Carfentanil!O43</f>
        <v>#DIV/0!</v>
      </c>
      <c r="Q9" s="21" t="e">
        <f>Lorazepam!O43</f>
        <v>#DIV/0!</v>
      </c>
    </row>
    <row r="10" spans="1:17" x14ac:dyDescent="0.25">
      <c r="A10" s="28">
        <f>Norfentanyl!A44</f>
        <v>0</v>
      </c>
      <c r="B10" s="28">
        <f>Norfentanyl!B44</f>
        <v>0</v>
      </c>
      <c r="C10" s="36">
        <f>Norfentanyl!C44</f>
        <v>0</v>
      </c>
      <c r="D10" s="21" t="e">
        <f>Codeine!O44</f>
        <v>#DIV/0!</v>
      </c>
      <c r="E10" s="21" t="e">
        <f>Amphetamine!O44</f>
        <v>#DIV/0!</v>
      </c>
      <c r="F10" s="21" t="e">
        <f>Norfentanyl!O44</f>
        <v>#DIV/0!</v>
      </c>
      <c r="G10" s="21" t="e">
        <f>Norcarfentanil!O44</f>
        <v>#DIV/0!</v>
      </c>
      <c r="H10" s="21" t="e">
        <f>Xylazine!O44</f>
        <v>#DIV/0!</v>
      </c>
      <c r="I10" s="21" t="e">
        <f>Heroin!O44</f>
        <v>#DIV/0!</v>
      </c>
      <c r="J10" s="21" t="e">
        <f>Cocaine!O44</f>
        <v>#DIV/0!</v>
      </c>
      <c r="K10" s="21" t="e">
        <f>'Acetyl Fentanyl'!O44</f>
        <v>#DIV/0!</v>
      </c>
      <c r="L10" s="21" t="e">
        <f>'Acryl Fentanyl'!O44</f>
        <v>#DIV/0!</v>
      </c>
      <c r="M10" s="21" t="e">
        <f>Fentanyl!O44</f>
        <v>#DIV/0!</v>
      </c>
      <c r="N10" s="21" t="e">
        <f>'4-ANPP'!O44</f>
        <v>#DIV/0!</v>
      </c>
      <c r="O10" s="21" t="e">
        <f>'para-Fluorofentanyl'!O44</f>
        <v>#DIV/0!</v>
      </c>
      <c r="P10" s="21" t="e">
        <f>Carfentanil!O44</f>
        <v>#DIV/0!</v>
      </c>
      <c r="Q10" s="21" t="e">
        <f>Lorazepam!O44</f>
        <v>#DIV/0!</v>
      </c>
    </row>
    <row r="11" spans="1:17" x14ac:dyDescent="0.25">
      <c r="A11" s="28">
        <f>Norfentanyl!A45</f>
        <v>0</v>
      </c>
      <c r="B11" s="28">
        <f>Norfentanyl!B45</f>
        <v>0</v>
      </c>
      <c r="C11" s="36">
        <f>Norfentanyl!C45</f>
        <v>0</v>
      </c>
      <c r="D11" s="21" t="e">
        <f>Codeine!O45</f>
        <v>#DIV/0!</v>
      </c>
      <c r="E11" s="21" t="e">
        <f>Amphetamine!O45</f>
        <v>#DIV/0!</v>
      </c>
      <c r="F11" s="21" t="e">
        <f>Norfentanyl!O45</f>
        <v>#DIV/0!</v>
      </c>
      <c r="G11" s="21" t="e">
        <f>Norcarfentanil!O45</f>
        <v>#DIV/0!</v>
      </c>
      <c r="H11" s="21" t="e">
        <f>Xylazine!O45</f>
        <v>#DIV/0!</v>
      </c>
      <c r="I11" s="21" t="e">
        <f>Heroin!O45</f>
        <v>#DIV/0!</v>
      </c>
      <c r="J11" s="21" t="e">
        <f>Cocaine!O45</f>
        <v>#DIV/0!</v>
      </c>
      <c r="K11" s="21" t="e">
        <f>'Acetyl Fentanyl'!O45</f>
        <v>#DIV/0!</v>
      </c>
      <c r="L11" s="21" t="e">
        <f>'Acryl Fentanyl'!O45</f>
        <v>#DIV/0!</v>
      </c>
      <c r="M11" s="21" t="e">
        <f>Fentanyl!O45</f>
        <v>#DIV/0!</v>
      </c>
      <c r="N11" s="21" t="e">
        <f>'4-ANPP'!O45</f>
        <v>#DIV/0!</v>
      </c>
      <c r="O11" s="21" t="e">
        <f>'para-Fluorofentanyl'!O45</f>
        <v>#DIV/0!</v>
      </c>
      <c r="P11" s="21" t="e">
        <f>Carfentanil!O45</f>
        <v>#DIV/0!</v>
      </c>
      <c r="Q11" s="21" t="e">
        <f>Lorazepam!O45</f>
        <v>#DIV/0!</v>
      </c>
    </row>
    <row r="12" spans="1:17" x14ac:dyDescent="0.25">
      <c r="A12" s="28">
        <f>Norfentanyl!A46</f>
        <v>0</v>
      </c>
      <c r="B12" s="28">
        <f>Norfentanyl!B46</f>
        <v>0</v>
      </c>
      <c r="C12" s="36">
        <f>Norfentanyl!C46</f>
        <v>0</v>
      </c>
      <c r="D12" s="21" t="e">
        <f>Codeine!O46</f>
        <v>#DIV/0!</v>
      </c>
      <c r="E12" s="21" t="e">
        <f>Amphetamine!O46</f>
        <v>#DIV/0!</v>
      </c>
      <c r="F12" s="21" t="e">
        <f>Norfentanyl!O46</f>
        <v>#DIV/0!</v>
      </c>
      <c r="G12" s="21" t="e">
        <f>Norcarfentanil!O46</f>
        <v>#DIV/0!</v>
      </c>
      <c r="H12" s="21" t="e">
        <f>Xylazine!O46</f>
        <v>#DIV/0!</v>
      </c>
      <c r="I12" s="21" t="e">
        <f>Heroin!O46</f>
        <v>#DIV/0!</v>
      </c>
      <c r="J12" s="21" t="e">
        <f>Cocaine!O46</f>
        <v>#DIV/0!</v>
      </c>
      <c r="K12" s="21" t="e">
        <f>'Acetyl Fentanyl'!O46</f>
        <v>#DIV/0!</v>
      </c>
      <c r="L12" s="21" t="e">
        <f>'Acryl Fentanyl'!O46</f>
        <v>#DIV/0!</v>
      </c>
      <c r="M12" s="21" t="e">
        <f>Fentanyl!O46</f>
        <v>#DIV/0!</v>
      </c>
      <c r="N12" s="21" t="e">
        <f>'4-ANPP'!O46</f>
        <v>#DIV/0!</v>
      </c>
      <c r="O12" s="21" t="e">
        <f>'para-Fluorofentanyl'!O46</f>
        <v>#DIV/0!</v>
      </c>
      <c r="P12" s="21" t="e">
        <f>Carfentanil!O46</f>
        <v>#DIV/0!</v>
      </c>
      <c r="Q12" s="21" t="e">
        <f>Lorazepam!O46</f>
        <v>#DIV/0!</v>
      </c>
    </row>
    <row r="13" spans="1:17" x14ac:dyDescent="0.25">
      <c r="A13" s="28">
        <f>Norfentanyl!A47</f>
        <v>0</v>
      </c>
      <c r="B13" s="28">
        <f>Norfentanyl!B47</f>
        <v>0</v>
      </c>
      <c r="C13" s="36">
        <f>Norfentanyl!C47</f>
        <v>0</v>
      </c>
      <c r="D13" s="21" t="e">
        <f>Codeine!O47</f>
        <v>#DIV/0!</v>
      </c>
      <c r="E13" s="21" t="e">
        <f>Amphetamine!O47</f>
        <v>#DIV/0!</v>
      </c>
      <c r="F13" s="21" t="e">
        <f>Norfentanyl!O47</f>
        <v>#DIV/0!</v>
      </c>
      <c r="G13" s="21" t="e">
        <f>Norcarfentanil!O47</f>
        <v>#DIV/0!</v>
      </c>
      <c r="H13" s="21" t="e">
        <f>Xylazine!O47</f>
        <v>#DIV/0!</v>
      </c>
      <c r="I13" s="21" t="e">
        <f>Heroin!O47</f>
        <v>#DIV/0!</v>
      </c>
      <c r="J13" s="21" t="e">
        <f>Cocaine!O47</f>
        <v>#DIV/0!</v>
      </c>
      <c r="K13" s="21" t="e">
        <f>'Acetyl Fentanyl'!O47</f>
        <v>#DIV/0!</v>
      </c>
      <c r="L13" s="21" t="e">
        <f>'Acryl Fentanyl'!O47</f>
        <v>#DIV/0!</v>
      </c>
      <c r="M13" s="21" t="e">
        <f>Fentanyl!O47</f>
        <v>#DIV/0!</v>
      </c>
      <c r="N13" s="21" t="e">
        <f>'4-ANPP'!O47</f>
        <v>#DIV/0!</v>
      </c>
      <c r="O13" s="21" t="e">
        <f>'para-Fluorofentanyl'!O47</f>
        <v>#DIV/0!</v>
      </c>
      <c r="P13" s="21" t="e">
        <f>Carfentanil!O47</f>
        <v>#DIV/0!</v>
      </c>
      <c r="Q13" s="21" t="e">
        <f>Lorazepam!O47</f>
        <v>#DIV/0!</v>
      </c>
    </row>
    <row r="14" spans="1:17" ht="15" customHeight="1" x14ac:dyDescent="0.25">
      <c r="A14" s="28">
        <f>Norfentanyl!A48</f>
        <v>0</v>
      </c>
      <c r="B14" s="28">
        <f>Norfentanyl!B48</f>
        <v>0</v>
      </c>
      <c r="C14" s="36">
        <f>Norfentanyl!C48</f>
        <v>0</v>
      </c>
      <c r="D14" s="21" t="e">
        <f>Codeine!O48</f>
        <v>#DIV/0!</v>
      </c>
      <c r="E14" s="21" t="e">
        <f>Amphetamine!O48</f>
        <v>#DIV/0!</v>
      </c>
      <c r="F14" s="21" t="e">
        <f>Norfentanyl!O48</f>
        <v>#DIV/0!</v>
      </c>
      <c r="G14" s="21" t="e">
        <f>Norcarfentanil!O48</f>
        <v>#DIV/0!</v>
      </c>
      <c r="H14" s="21" t="e">
        <f>Xylazine!O48</f>
        <v>#DIV/0!</v>
      </c>
      <c r="I14" s="21" t="e">
        <f>Heroin!O48</f>
        <v>#DIV/0!</v>
      </c>
      <c r="J14" s="21" t="e">
        <f>Cocaine!O48</f>
        <v>#DIV/0!</v>
      </c>
      <c r="K14" s="21" t="e">
        <f>'Acetyl Fentanyl'!O48</f>
        <v>#DIV/0!</v>
      </c>
      <c r="L14" s="21" t="e">
        <f>'Acryl Fentanyl'!O48</f>
        <v>#DIV/0!</v>
      </c>
      <c r="M14" s="21" t="e">
        <f>Fentanyl!O48</f>
        <v>#DIV/0!</v>
      </c>
      <c r="N14" s="21" t="e">
        <f>'4-ANPP'!O48</f>
        <v>#DIV/0!</v>
      </c>
      <c r="O14" s="21" t="e">
        <f>'para-Fluorofentanyl'!O48</f>
        <v>#DIV/0!</v>
      </c>
      <c r="P14" s="21" t="e">
        <f>Carfentanil!O48</f>
        <v>#DIV/0!</v>
      </c>
      <c r="Q14" s="21" t="e">
        <f>Lorazepam!O48</f>
        <v>#DIV/0!</v>
      </c>
    </row>
    <row r="15" spans="1:17" x14ac:dyDescent="0.25">
      <c r="A15" s="28">
        <f>Norfentanyl!A49</f>
        <v>0</v>
      </c>
      <c r="B15" s="28">
        <f>Norfentanyl!B49</f>
        <v>0</v>
      </c>
      <c r="C15" s="36">
        <f>Norfentanyl!C49</f>
        <v>0</v>
      </c>
      <c r="D15" s="21" t="e">
        <f>Codeine!O49</f>
        <v>#DIV/0!</v>
      </c>
      <c r="E15" s="21" t="e">
        <f>Amphetamine!O49</f>
        <v>#DIV/0!</v>
      </c>
      <c r="F15" s="21" t="e">
        <f>Norfentanyl!O49</f>
        <v>#DIV/0!</v>
      </c>
      <c r="G15" s="21" t="e">
        <f>Norcarfentanil!O49</f>
        <v>#DIV/0!</v>
      </c>
      <c r="H15" s="21" t="e">
        <f>Xylazine!O49</f>
        <v>#DIV/0!</v>
      </c>
      <c r="I15" s="21" t="e">
        <f>Heroin!O49</f>
        <v>#DIV/0!</v>
      </c>
      <c r="J15" s="21" t="e">
        <f>Cocaine!O49</f>
        <v>#DIV/0!</v>
      </c>
      <c r="K15" s="21" t="e">
        <f>'Acetyl Fentanyl'!O49</f>
        <v>#DIV/0!</v>
      </c>
      <c r="L15" s="21" t="e">
        <f>'Acryl Fentanyl'!O49</f>
        <v>#DIV/0!</v>
      </c>
      <c r="M15" s="21" t="e">
        <f>Fentanyl!O49</f>
        <v>#DIV/0!</v>
      </c>
      <c r="N15" s="21" t="e">
        <f>'4-ANPP'!O49</f>
        <v>#DIV/0!</v>
      </c>
      <c r="O15" s="21" t="e">
        <f>'para-Fluorofentanyl'!O49</f>
        <v>#DIV/0!</v>
      </c>
      <c r="P15" s="21" t="e">
        <f>Carfentanil!O49</f>
        <v>#DIV/0!</v>
      </c>
      <c r="Q15" s="21" t="e">
        <f>Lorazepam!O49</f>
        <v>#DIV/0!</v>
      </c>
    </row>
    <row r="16" spans="1:17" x14ac:dyDescent="0.25">
      <c r="A16" s="28">
        <f>Norfentanyl!A50</f>
        <v>0</v>
      </c>
      <c r="B16" s="28">
        <f>Norfentanyl!B50</f>
        <v>0</v>
      </c>
      <c r="C16" s="36">
        <f>Norfentanyl!C50</f>
        <v>0</v>
      </c>
      <c r="D16" s="21" t="e">
        <f>Codeine!O50</f>
        <v>#DIV/0!</v>
      </c>
      <c r="E16" s="21" t="e">
        <f>Amphetamine!O50</f>
        <v>#DIV/0!</v>
      </c>
      <c r="F16" s="21" t="e">
        <f>Norfentanyl!O50</f>
        <v>#DIV/0!</v>
      </c>
      <c r="G16" s="21" t="e">
        <f>Norcarfentanil!O50</f>
        <v>#DIV/0!</v>
      </c>
      <c r="H16" s="21" t="e">
        <f>Xylazine!O50</f>
        <v>#DIV/0!</v>
      </c>
      <c r="I16" s="21" t="e">
        <f>Heroin!O50</f>
        <v>#DIV/0!</v>
      </c>
      <c r="J16" s="21" t="e">
        <f>Cocaine!O50</f>
        <v>#DIV/0!</v>
      </c>
      <c r="K16" s="21" t="e">
        <f>'Acetyl Fentanyl'!O50</f>
        <v>#DIV/0!</v>
      </c>
      <c r="L16" s="21" t="e">
        <f>'Acryl Fentanyl'!O50</f>
        <v>#DIV/0!</v>
      </c>
      <c r="M16" s="21" t="e">
        <f>Fentanyl!O50</f>
        <v>#DIV/0!</v>
      </c>
      <c r="N16" s="21" t="e">
        <f>'4-ANPP'!O50</f>
        <v>#DIV/0!</v>
      </c>
      <c r="O16" s="21" t="e">
        <f>'para-Fluorofentanyl'!O50</f>
        <v>#DIV/0!</v>
      </c>
      <c r="P16" s="21" t="e">
        <f>Carfentanil!O50</f>
        <v>#DIV/0!</v>
      </c>
      <c r="Q16" s="21" t="e">
        <f>Lorazepam!O50</f>
        <v>#DIV/0!</v>
      </c>
    </row>
    <row r="17" spans="1:17" x14ac:dyDescent="0.25">
      <c r="A17" s="28">
        <f>Norfentanyl!A51</f>
        <v>0</v>
      </c>
      <c r="B17" s="28">
        <f>Norfentanyl!B51</f>
        <v>0</v>
      </c>
      <c r="C17" s="36">
        <f>Norfentanyl!C51</f>
        <v>0</v>
      </c>
      <c r="D17" s="21" t="e">
        <f>Codeine!O51</f>
        <v>#DIV/0!</v>
      </c>
      <c r="E17" s="21" t="e">
        <f>Amphetamine!O51</f>
        <v>#DIV/0!</v>
      </c>
      <c r="F17" s="21" t="e">
        <f>Norfentanyl!O51</f>
        <v>#DIV/0!</v>
      </c>
      <c r="G17" s="21" t="e">
        <f>Norcarfentanil!O51</f>
        <v>#DIV/0!</v>
      </c>
      <c r="H17" s="21" t="e">
        <f>Xylazine!O51</f>
        <v>#DIV/0!</v>
      </c>
      <c r="I17" s="21" t="e">
        <f>Heroin!O51</f>
        <v>#DIV/0!</v>
      </c>
      <c r="J17" s="21" t="e">
        <f>Cocaine!O51</f>
        <v>#DIV/0!</v>
      </c>
      <c r="K17" s="21" t="e">
        <f>'Acetyl Fentanyl'!O51</f>
        <v>#DIV/0!</v>
      </c>
      <c r="L17" s="21" t="e">
        <f>'Acryl Fentanyl'!O51</f>
        <v>#DIV/0!</v>
      </c>
      <c r="M17" s="21" t="e">
        <f>Fentanyl!O51</f>
        <v>#DIV/0!</v>
      </c>
      <c r="N17" s="21" t="e">
        <f>'4-ANPP'!O51</f>
        <v>#DIV/0!</v>
      </c>
      <c r="O17" s="21" t="e">
        <f>'para-Fluorofentanyl'!O51</f>
        <v>#DIV/0!</v>
      </c>
      <c r="P17" s="21" t="e">
        <f>Carfentanil!O51</f>
        <v>#DIV/0!</v>
      </c>
      <c r="Q17" s="21" t="e">
        <f>Lorazepam!O51</f>
        <v>#DIV/0!</v>
      </c>
    </row>
    <row r="18" spans="1:17" x14ac:dyDescent="0.25">
      <c r="A18" s="28">
        <f>Norfentanyl!A52</f>
        <v>0</v>
      </c>
      <c r="B18" s="28">
        <f>Norfentanyl!B52</f>
        <v>0</v>
      </c>
      <c r="C18" s="36">
        <f>Norfentanyl!C52</f>
        <v>0</v>
      </c>
      <c r="D18" s="21" t="e">
        <f>Codeine!O52</f>
        <v>#DIV/0!</v>
      </c>
      <c r="E18" s="21" t="e">
        <f>Amphetamine!O52</f>
        <v>#DIV/0!</v>
      </c>
      <c r="F18" s="21" t="e">
        <f>Norfentanyl!O52</f>
        <v>#DIV/0!</v>
      </c>
      <c r="G18" s="21" t="e">
        <f>Norcarfentanil!O52</f>
        <v>#DIV/0!</v>
      </c>
      <c r="H18" s="21" t="e">
        <f>Xylazine!O52</f>
        <v>#DIV/0!</v>
      </c>
      <c r="I18" s="21" t="e">
        <f>Heroin!O52</f>
        <v>#DIV/0!</v>
      </c>
      <c r="J18" s="21" t="e">
        <f>Cocaine!O52</f>
        <v>#DIV/0!</v>
      </c>
      <c r="K18" s="21" t="e">
        <f>'Acetyl Fentanyl'!O52</f>
        <v>#DIV/0!</v>
      </c>
      <c r="L18" s="21" t="e">
        <f>'Acryl Fentanyl'!O52</f>
        <v>#DIV/0!</v>
      </c>
      <c r="M18" s="21" t="e">
        <f>Fentanyl!O52</f>
        <v>#DIV/0!</v>
      </c>
      <c r="N18" s="21" t="e">
        <f>'4-ANPP'!O52</f>
        <v>#DIV/0!</v>
      </c>
      <c r="O18" s="21" t="e">
        <f>'para-Fluorofentanyl'!O52</f>
        <v>#DIV/0!</v>
      </c>
      <c r="P18" s="21" t="e">
        <f>Carfentanil!O52</f>
        <v>#DIV/0!</v>
      </c>
      <c r="Q18" s="21" t="e">
        <f>Lorazepam!O52</f>
        <v>#DIV/0!</v>
      </c>
    </row>
    <row r="19" spans="1:17" x14ac:dyDescent="0.25">
      <c r="A19" s="28">
        <f>Norfentanyl!A53</f>
        <v>0</v>
      </c>
      <c r="B19" s="28">
        <f>Norfentanyl!B53</f>
        <v>0</v>
      </c>
      <c r="C19" s="36">
        <f>Norfentanyl!C53</f>
        <v>0</v>
      </c>
      <c r="D19" s="21" t="e">
        <f>Codeine!O53</f>
        <v>#DIV/0!</v>
      </c>
      <c r="E19" s="21" t="e">
        <f>Amphetamine!O53</f>
        <v>#DIV/0!</v>
      </c>
      <c r="F19" s="21" t="e">
        <f>Norfentanyl!O53</f>
        <v>#DIV/0!</v>
      </c>
      <c r="G19" s="21" t="e">
        <f>Norcarfentanil!O53</f>
        <v>#DIV/0!</v>
      </c>
      <c r="H19" s="21" t="e">
        <f>Xylazine!O53</f>
        <v>#DIV/0!</v>
      </c>
      <c r="I19" s="21" t="e">
        <f>Heroin!O53</f>
        <v>#DIV/0!</v>
      </c>
      <c r="J19" s="21" t="e">
        <f>Cocaine!O53</f>
        <v>#DIV/0!</v>
      </c>
      <c r="K19" s="21" t="e">
        <f>'Acetyl Fentanyl'!O53</f>
        <v>#DIV/0!</v>
      </c>
      <c r="L19" s="21" t="e">
        <f>'Acryl Fentanyl'!O53</f>
        <v>#DIV/0!</v>
      </c>
      <c r="M19" s="21" t="e">
        <f>Fentanyl!O53</f>
        <v>#DIV/0!</v>
      </c>
      <c r="N19" s="21" t="e">
        <f>'4-ANPP'!O53</f>
        <v>#DIV/0!</v>
      </c>
      <c r="O19" s="21" t="e">
        <f>'para-Fluorofentanyl'!O53</f>
        <v>#DIV/0!</v>
      </c>
      <c r="P19" s="21" t="e">
        <f>Carfentanil!O53</f>
        <v>#DIV/0!</v>
      </c>
      <c r="Q19" s="21" t="e">
        <f>Lorazepam!O53</f>
        <v>#DIV/0!</v>
      </c>
    </row>
    <row r="20" spans="1:17" x14ac:dyDescent="0.25">
      <c r="A20" s="28">
        <f>Norfentanyl!A54</f>
        <v>0</v>
      </c>
      <c r="B20" s="28">
        <f>Norfentanyl!B54</f>
        <v>0</v>
      </c>
      <c r="C20" s="36">
        <f>Norfentanyl!C54</f>
        <v>0</v>
      </c>
      <c r="D20" s="21" t="e">
        <f>Codeine!O54</f>
        <v>#DIV/0!</v>
      </c>
      <c r="E20" s="21" t="e">
        <f>Amphetamine!O54</f>
        <v>#DIV/0!</v>
      </c>
      <c r="F20" s="21" t="e">
        <f>Norfentanyl!O54</f>
        <v>#DIV/0!</v>
      </c>
      <c r="G20" s="21" t="e">
        <f>Norcarfentanil!O54</f>
        <v>#DIV/0!</v>
      </c>
      <c r="H20" s="21" t="e">
        <f>Xylazine!O54</f>
        <v>#DIV/0!</v>
      </c>
      <c r="I20" s="21" t="e">
        <f>Heroin!O54</f>
        <v>#DIV/0!</v>
      </c>
      <c r="J20" s="21" t="e">
        <f>Cocaine!O54</f>
        <v>#DIV/0!</v>
      </c>
      <c r="K20" s="21" t="e">
        <f>'Acetyl Fentanyl'!O54</f>
        <v>#DIV/0!</v>
      </c>
      <c r="L20" s="21" t="e">
        <f>'Acryl Fentanyl'!O54</f>
        <v>#DIV/0!</v>
      </c>
      <c r="M20" s="21" t="e">
        <f>Fentanyl!O54</f>
        <v>#DIV/0!</v>
      </c>
      <c r="N20" s="21" t="e">
        <f>'4-ANPP'!O54</f>
        <v>#DIV/0!</v>
      </c>
      <c r="O20" s="21" t="e">
        <f>'para-Fluorofentanyl'!O54</f>
        <v>#DIV/0!</v>
      </c>
      <c r="P20" s="21" t="e">
        <f>Carfentanil!O54</f>
        <v>#DIV/0!</v>
      </c>
      <c r="Q20" s="21" t="e">
        <f>Lorazepam!O54</f>
        <v>#DIV/0!</v>
      </c>
    </row>
    <row r="21" spans="1:17" x14ac:dyDescent="0.25">
      <c r="A21" s="28">
        <f>Norfentanyl!A55</f>
        <v>0</v>
      </c>
      <c r="B21" s="28">
        <f>Norfentanyl!B55</f>
        <v>0</v>
      </c>
      <c r="C21" s="36">
        <f>Norfentanyl!C55</f>
        <v>0</v>
      </c>
      <c r="D21" s="21" t="e">
        <f>Codeine!O55</f>
        <v>#DIV/0!</v>
      </c>
      <c r="E21" s="21" t="e">
        <f>Amphetamine!O55</f>
        <v>#DIV/0!</v>
      </c>
      <c r="F21" s="21" t="e">
        <f>Norfentanyl!O55</f>
        <v>#DIV/0!</v>
      </c>
      <c r="G21" s="21" t="e">
        <f>Norcarfentanil!O55</f>
        <v>#DIV/0!</v>
      </c>
      <c r="H21" s="21" t="e">
        <f>Xylazine!O55</f>
        <v>#DIV/0!</v>
      </c>
      <c r="I21" s="21" t="e">
        <f>Heroin!O55</f>
        <v>#DIV/0!</v>
      </c>
      <c r="J21" s="21" t="e">
        <f>Cocaine!O55</f>
        <v>#DIV/0!</v>
      </c>
      <c r="K21" s="21" t="e">
        <f>'Acetyl Fentanyl'!O55</f>
        <v>#DIV/0!</v>
      </c>
      <c r="L21" s="21" t="e">
        <f>'Acryl Fentanyl'!O55</f>
        <v>#DIV/0!</v>
      </c>
      <c r="M21" s="21" t="e">
        <f>Fentanyl!O55</f>
        <v>#DIV/0!</v>
      </c>
      <c r="N21" s="21" t="e">
        <f>'4-ANPP'!O55</f>
        <v>#DIV/0!</v>
      </c>
      <c r="O21" s="21" t="e">
        <f>'para-Fluorofentanyl'!O55</f>
        <v>#DIV/0!</v>
      </c>
      <c r="P21" s="21" t="e">
        <f>Carfentanil!O55</f>
        <v>#DIV/0!</v>
      </c>
      <c r="Q21" s="21" t="e">
        <f>Lorazepam!O55</f>
        <v>#DIV/0!</v>
      </c>
    </row>
    <row r="22" spans="1:17" x14ac:dyDescent="0.25">
      <c r="A22" s="28">
        <f>Norfentanyl!A56</f>
        <v>0</v>
      </c>
      <c r="B22" s="28">
        <f>Norfentanyl!B56</f>
        <v>0</v>
      </c>
      <c r="C22" s="36">
        <f>Norfentanyl!C56</f>
        <v>0</v>
      </c>
      <c r="D22" s="21" t="e">
        <f>Codeine!O56</f>
        <v>#DIV/0!</v>
      </c>
      <c r="E22" s="21" t="e">
        <f>Amphetamine!O56</f>
        <v>#DIV/0!</v>
      </c>
      <c r="F22" s="21" t="e">
        <f>Norfentanyl!O56</f>
        <v>#DIV/0!</v>
      </c>
      <c r="G22" s="21" t="e">
        <f>Norcarfentanil!O56</f>
        <v>#DIV/0!</v>
      </c>
      <c r="H22" s="21" t="e">
        <f>Xylazine!O56</f>
        <v>#DIV/0!</v>
      </c>
      <c r="I22" s="21" t="e">
        <f>Heroin!O56</f>
        <v>#DIV/0!</v>
      </c>
      <c r="J22" s="21" t="e">
        <f>Cocaine!O56</f>
        <v>#DIV/0!</v>
      </c>
      <c r="K22" s="21" t="e">
        <f>'Acetyl Fentanyl'!O56</f>
        <v>#DIV/0!</v>
      </c>
      <c r="L22" s="21" t="e">
        <f>'Acryl Fentanyl'!O56</f>
        <v>#DIV/0!</v>
      </c>
      <c r="M22" s="21" t="e">
        <f>Fentanyl!O56</f>
        <v>#DIV/0!</v>
      </c>
      <c r="N22" s="21" t="e">
        <f>'4-ANPP'!O56</f>
        <v>#DIV/0!</v>
      </c>
      <c r="O22" s="21" t="e">
        <f>'para-Fluorofentanyl'!O56</f>
        <v>#DIV/0!</v>
      </c>
      <c r="P22" s="21" t="e">
        <f>Carfentanil!O56</f>
        <v>#DIV/0!</v>
      </c>
      <c r="Q22" s="21" t="e">
        <f>Lorazepam!O56</f>
        <v>#DIV/0!</v>
      </c>
    </row>
    <row r="23" spans="1:17" x14ac:dyDescent="0.25">
      <c r="A23" s="28">
        <f>Norfentanyl!A57</f>
        <v>0</v>
      </c>
      <c r="B23" s="28">
        <f>Norfentanyl!B57</f>
        <v>0</v>
      </c>
      <c r="C23" s="36">
        <f>Norfentanyl!C57</f>
        <v>0</v>
      </c>
      <c r="D23" s="21" t="e">
        <f>Codeine!O57</f>
        <v>#DIV/0!</v>
      </c>
      <c r="E23" s="21" t="e">
        <f>Amphetamine!O57</f>
        <v>#DIV/0!</v>
      </c>
      <c r="F23" s="21" t="e">
        <f>Norfentanyl!O57</f>
        <v>#DIV/0!</v>
      </c>
      <c r="G23" s="21" t="e">
        <f>Norcarfentanil!O57</f>
        <v>#DIV/0!</v>
      </c>
      <c r="H23" s="21" t="e">
        <f>Xylazine!O57</f>
        <v>#DIV/0!</v>
      </c>
      <c r="I23" s="21" t="e">
        <f>Heroin!O57</f>
        <v>#DIV/0!</v>
      </c>
      <c r="J23" s="21" t="e">
        <f>Cocaine!O57</f>
        <v>#DIV/0!</v>
      </c>
      <c r="K23" s="21" t="e">
        <f>'Acetyl Fentanyl'!O57</f>
        <v>#DIV/0!</v>
      </c>
      <c r="L23" s="21" t="e">
        <f>'Acryl Fentanyl'!O57</f>
        <v>#DIV/0!</v>
      </c>
      <c r="M23" s="21" t="e">
        <f>Fentanyl!O57</f>
        <v>#DIV/0!</v>
      </c>
      <c r="N23" s="21" t="e">
        <f>'4-ANPP'!O57</f>
        <v>#DIV/0!</v>
      </c>
      <c r="O23" s="21" t="e">
        <f>'para-Fluorofentanyl'!O57</f>
        <v>#DIV/0!</v>
      </c>
      <c r="P23" s="21" t="e">
        <f>Carfentanil!O57</f>
        <v>#DIV/0!</v>
      </c>
      <c r="Q23" s="21" t="e">
        <f>Lorazepam!O57</f>
        <v>#DIV/0!</v>
      </c>
    </row>
    <row r="24" spans="1:17" x14ac:dyDescent="0.25">
      <c r="A24" s="86" t="s">
        <v>17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</row>
    <row r="25" spans="1:17" x14ac:dyDescent="0.25">
      <c r="A25" s="84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</row>
    <row r="26" spans="1:17" x14ac:dyDescent="0.25">
      <c r="A26" s="84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</row>
    <row r="27" spans="1:17" x14ac:dyDescent="0.25">
      <c r="A27" s="84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</row>
    <row r="28" spans="1:17" x14ac:dyDescent="0.25">
      <c r="A28" s="84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</row>
    <row r="29" spans="1:17" x14ac:dyDescent="0.25">
      <c r="A29" s="84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</row>
    <row r="30" spans="1:17" x14ac:dyDescent="0.25">
      <c r="A30" s="84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</row>
    <row r="31" spans="1:17" x14ac:dyDescent="0.25">
      <c r="A31" s="84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</row>
    <row r="32" spans="1:17" x14ac:dyDescent="0.25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</row>
    <row r="33" spans="1:17" x14ac:dyDescent="0.25">
      <c r="A33" s="84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</row>
    <row r="34" spans="1:17" x14ac:dyDescent="0.25">
      <c r="A34" s="84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</row>
    <row r="35" spans="1:17" x14ac:dyDescent="0.25">
      <c r="A35" s="84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</row>
    <row r="36" spans="1:17" x14ac:dyDescent="0.25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17" x14ac:dyDescent="0.25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</sheetData>
  <mergeCells count="20">
    <mergeCell ref="A24:Q24"/>
    <mergeCell ref="A25:Q25"/>
    <mergeCell ref="A1:C1"/>
    <mergeCell ref="D1:G1"/>
    <mergeCell ref="A2:C2"/>
    <mergeCell ref="D2:G2"/>
    <mergeCell ref="M1:Q1"/>
    <mergeCell ref="M2:Q2"/>
    <mergeCell ref="H1:L1"/>
    <mergeCell ref="H2:L2"/>
    <mergeCell ref="A26:Q26"/>
    <mergeCell ref="A27:Q27"/>
    <mergeCell ref="A28:Q28"/>
    <mergeCell ref="A29:Q29"/>
    <mergeCell ref="A30:Q30"/>
    <mergeCell ref="A31:Q31"/>
    <mergeCell ref="A32:Q32"/>
    <mergeCell ref="A33:Q33"/>
    <mergeCell ref="A34:Q34"/>
    <mergeCell ref="A35:Q35"/>
  </mergeCells>
  <conditionalFormatting sqref="D4:Q23">
    <cfRule type="containsText" dxfId="750" priority="1" operator="containsText" text="Detect with IS Supp">
      <formula>NOT(ISERROR(SEARCH("Detect with IS Supp",D4)))</formula>
    </cfRule>
    <cfRule type="containsText" dxfId="749" priority="2" operator="containsText" text="Detect">
      <formula>NOT(ISERROR(SEARCH("Detect",D4)))</formula>
    </cfRule>
    <cfRule type="containsText" dxfId="748" priority="3" operator="containsText" text="ND">
      <formula>NOT(ISERROR(SEARCH("ND",D4)))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2"/>
  <sheetViews>
    <sheetView workbookViewId="0">
      <selection activeCell="B24" sqref="B24:N27"/>
    </sheetView>
  </sheetViews>
  <sheetFormatPr defaultRowHeight="15" x14ac:dyDescent="0.25"/>
  <cols>
    <col min="1" max="1" width="17.42578125" customWidth="1"/>
    <col min="2" max="2" width="19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570312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">
        <v>129</v>
      </c>
      <c r="B4" s="150"/>
      <c r="C4" s="151"/>
      <c r="D4" s="149" t="s">
        <v>131</v>
      </c>
      <c r="E4" s="150"/>
      <c r="F4" s="150"/>
      <c r="G4" s="151"/>
      <c r="H4" s="149" t="s">
        <v>133</v>
      </c>
      <c r="I4" s="151"/>
      <c r="J4" s="149" t="s">
        <v>135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">
        <v>130</v>
      </c>
      <c r="B5" s="150"/>
      <c r="C5" s="151"/>
      <c r="D5" s="149" t="s">
        <v>132</v>
      </c>
      <c r="E5" s="150"/>
      <c r="F5" s="150"/>
      <c r="G5" s="151"/>
      <c r="H5" s="149" t="s">
        <v>134</v>
      </c>
      <c r="I5" s="151"/>
      <c r="J5" s="149" t="s">
        <v>18</v>
      </c>
      <c r="K5" s="150"/>
      <c r="L5" s="151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06" t="s">
        <v>21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4669.6044921656749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10662.75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17.876848566713651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17.925000000000001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2402.87885125501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1948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28.5" customHeight="1" x14ac:dyDescent="0.25">
      <c r="A15" s="106" t="s">
        <v>34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4669.6044921656749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10662.75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17.876848566713651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17.925000000000001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2402.87885125501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1948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Codeine Results</v>
      </c>
      <c r="E22" s="95"/>
      <c r="F22" s="95"/>
      <c r="G22" s="95"/>
      <c r="H22" s="96"/>
      <c r="I22" s="20" t="str">
        <f>I60</f>
        <v>Qualifier (300.2 -&gt; 215.1) Method</v>
      </c>
      <c r="J22" s="94" t="str">
        <f>J60</f>
        <v>Qualifier (300.2 -&gt; 215.1) Results</v>
      </c>
      <c r="K22" s="96"/>
      <c r="L22" s="94" t="str">
        <f>L60</f>
        <v>Codeine D3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78"/>
      <c r="P24" s="7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80"/>
      <c r="P25" s="81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80"/>
      <c r="P26" s="81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82"/>
      <c r="P27" s="83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89" t="s">
        <v>48</v>
      </c>
      <c r="R29" s="90"/>
      <c r="S29" s="90"/>
      <c r="T29" s="90"/>
      <c r="U29" s="90"/>
      <c r="V29" s="91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15.75" customHeight="1" x14ac:dyDescent="0.25">
      <c r="A32" s="124"/>
      <c r="B32" s="127"/>
      <c r="C32" s="51" t="s">
        <v>58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28.5" customHeight="1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2402.87885125501</v>
      </c>
      <c r="N34" s="58"/>
      <c r="O34" s="132"/>
      <c r="P34" s="133"/>
      <c r="Q34" s="45"/>
      <c r="R34" s="45"/>
      <c r="S34" s="45"/>
      <c r="T34" s="45"/>
      <c r="U34" s="45"/>
      <c r="V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Codeine Results</v>
      </c>
      <c r="E36" s="114"/>
      <c r="F36" s="114"/>
      <c r="G36" s="114"/>
      <c r="H36" s="114"/>
      <c r="I36" s="13" t="str">
        <f>I22</f>
        <v>Qualifier (300.2 -&gt; 215.1) Method</v>
      </c>
      <c r="J36" s="114" t="str">
        <f>J22</f>
        <v>Qualifier (300.2 -&gt; 215.1) Results</v>
      </c>
      <c r="K36" s="114"/>
      <c r="L36" s="114" t="str">
        <f>L22</f>
        <v>Codeine D3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57" si="1">IF(AND(D38&lt;($D$32+0.1),D38&gt;($D$32-0.1)),"Y","N")</f>
        <v>Y</v>
      </c>
      <c r="R38" s="21" t="str">
        <f t="shared" ref="R38:R57" si="2">IF(E38&gt;$E$34,"Y","N")</f>
        <v>N</v>
      </c>
      <c r="S38" s="21" t="str">
        <f t="shared" ref="S38:S57" si="3">IF(M38&gt;$M$34,"Y","N")</f>
        <v>N</v>
      </c>
      <c r="T38" s="21" t="str">
        <f t="shared" ref="T38:T5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si="1"/>
        <v>Y</v>
      </c>
      <c r="R48" s="21" t="str">
        <f t="shared" si="2"/>
        <v>N</v>
      </c>
      <c r="S48" s="21" t="str">
        <f t="shared" si="3"/>
        <v>N</v>
      </c>
      <c r="T48" s="21" t="str">
        <f t="shared" si="4"/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1"/>
        <v>Y</v>
      </c>
      <c r="R49" s="21" t="str">
        <f t="shared" si="2"/>
        <v>N</v>
      </c>
      <c r="S49" s="21" t="str">
        <f t="shared" si="3"/>
        <v>N</v>
      </c>
      <c r="T49" s="21" t="str">
        <f t="shared" si="4"/>
        <v>N</v>
      </c>
      <c r="U49" s="21" t="e">
        <f t="shared" si="6"/>
        <v>#DIV/0!</v>
      </c>
      <c r="V49" s="21" t="e">
        <f t="shared" ref="V49:V57" si="8">IF(AND(Q49="Y",R49="Y",S49="Y",T49="Y",U49="Y"), "PASS","FAIL")</f>
        <v>#DIV/0!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1"/>
        <v>Y</v>
      </c>
      <c r="R50" s="21" t="str">
        <f t="shared" si="2"/>
        <v>N</v>
      </c>
      <c r="S50" s="21" t="str">
        <f t="shared" si="3"/>
        <v>N</v>
      </c>
      <c r="T50" s="21" t="str">
        <f t="shared" si="4"/>
        <v>N</v>
      </c>
      <c r="U50" s="21" t="e">
        <f t="shared" si="6"/>
        <v>#DIV/0!</v>
      </c>
      <c r="V50" s="21" t="e">
        <f t="shared" si="8"/>
        <v>#DIV/0!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1"/>
        <v>Y</v>
      </c>
      <c r="R51" s="21" t="str">
        <f t="shared" si="2"/>
        <v>N</v>
      </c>
      <c r="S51" s="21" t="str">
        <f t="shared" si="3"/>
        <v>N</v>
      </c>
      <c r="T51" s="21" t="str">
        <f t="shared" si="4"/>
        <v>N</v>
      </c>
      <c r="U51" s="21" t="e">
        <f t="shared" si="6"/>
        <v>#DIV/0!</v>
      </c>
      <c r="V51" s="21" t="e">
        <f t="shared" si="8"/>
        <v>#DIV/0!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1"/>
        <v>Y</v>
      </c>
      <c r="R52" s="21" t="str">
        <f t="shared" si="2"/>
        <v>N</v>
      </c>
      <c r="S52" s="21" t="str">
        <f t="shared" si="3"/>
        <v>N</v>
      </c>
      <c r="T52" s="21" t="str">
        <f t="shared" si="4"/>
        <v>N</v>
      </c>
      <c r="U52" s="21" t="e">
        <f t="shared" si="6"/>
        <v>#DIV/0!</v>
      </c>
      <c r="V52" s="21" t="e">
        <f t="shared" si="8"/>
        <v>#DIV/0!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1"/>
        <v>Y</v>
      </c>
      <c r="R53" s="21" t="str">
        <f t="shared" si="2"/>
        <v>N</v>
      </c>
      <c r="S53" s="21" t="str">
        <f t="shared" si="3"/>
        <v>N</v>
      </c>
      <c r="T53" s="21" t="str">
        <f t="shared" si="4"/>
        <v>N</v>
      </c>
      <c r="U53" s="21" t="e">
        <f t="shared" si="6"/>
        <v>#DIV/0!</v>
      </c>
      <c r="V53" s="21" t="e">
        <f t="shared" si="8"/>
        <v>#DIV/0!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1"/>
        <v>Y</v>
      </c>
      <c r="R54" s="21" t="str">
        <f t="shared" si="2"/>
        <v>N</v>
      </c>
      <c r="S54" s="21" t="str">
        <f t="shared" si="3"/>
        <v>N</v>
      </c>
      <c r="T54" s="21" t="str">
        <f t="shared" si="4"/>
        <v>N</v>
      </c>
      <c r="U54" s="21" t="e">
        <f t="shared" si="6"/>
        <v>#DIV/0!</v>
      </c>
      <c r="V54" s="21" t="e">
        <f t="shared" si="8"/>
        <v>#DIV/0!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1"/>
        <v>Y</v>
      </c>
      <c r="R55" s="21" t="str">
        <f t="shared" si="2"/>
        <v>N</v>
      </c>
      <c r="S55" s="21" t="str">
        <f t="shared" si="3"/>
        <v>N</v>
      </c>
      <c r="T55" s="21" t="str">
        <f t="shared" si="4"/>
        <v>N</v>
      </c>
      <c r="U55" s="21" t="e">
        <f t="shared" si="6"/>
        <v>#DIV/0!</v>
      </c>
      <c r="V55" s="21" t="e">
        <f t="shared" si="8"/>
        <v>#DIV/0!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1"/>
        <v>Y</v>
      </c>
      <c r="R56" s="21" t="str">
        <f t="shared" si="2"/>
        <v>N</v>
      </c>
      <c r="S56" s="21" t="str">
        <f t="shared" si="3"/>
        <v>N</v>
      </c>
      <c r="T56" s="21" t="str">
        <f t="shared" si="4"/>
        <v>N</v>
      </c>
      <c r="U56" s="21" t="e">
        <f t="shared" si="6"/>
        <v>#DIV/0!</v>
      </c>
      <c r="V56" s="21" t="e">
        <f t="shared" si="8"/>
        <v>#DIV/0!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1"/>
        <v>Y</v>
      </c>
      <c r="R57" s="21" t="str">
        <f t="shared" si="2"/>
        <v>N</v>
      </c>
      <c r="S57" s="21" t="str">
        <f t="shared" si="3"/>
        <v>N</v>
      </c>
      <c r="T57" s="21" t="str">
        <f t="shared" si="4"/>
        <v>N</v>
      </c>
      <c r="U57" s="21" t="e">
        <f t="shared" si="6"/>
        <v>#DIV/0!</v>
      </c>
      <c r="V57" s="21" t="e">
        <f t="shared" si="8"/>
        <v>#DIV/0!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">
        <v>35</v>
      </c>
      <c r="B60" s="16"/>
      <c r="C60" s="16"/>
      <c r="D60" s="16" t="s">
        <v>73</v>
      </c>
      <c r="E60" s="16"/>
      <c r="F60" s="16"/>
      <c r="G60" s="16"/>
      <c r="H60" s="16"/>
      <c r="I60" s="16" t="s">
        <v>74</v>
      </c>
      <c r="J60" s="16" t="s">
        <v>75</v>
      </c>
      <c r="K60" s="16"/>
      <c r="L60" s="16" t="s">
        <v>76</v>
      </c>
      <c r="M60" s="16"/>
      <c r="N60" s="16"/>
      <c r="O60" s="16"/>
      <c r="P60" s="16"/>
    </row>
    <row r="61" spans="1:42" x14ac:dyDescent="0.25">
      <c r="A61" s="16" t="s">
        <v>0</v>
      </c>
      <c r="B61" s="16" t="s">
        <v>1</v>
      </c>
      <c r="C61" s="16" t="s">
        <v>2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/>
      <c r="B62" s="16"/>
      <c r="C62" s="2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/>
      <c r="B63" s="16"/>
      <c r="C63" s="2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/>
      <c r="B64" s="16"/>
      <c r="C64" s="2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/>
      <c r="B65" s="16"/>
      <c r="C65" s="2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/>
      <c r="B66" s="16"/>
      <c r="C66" s="2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/>
      <c r="B67" s="16"/>
      <c r="C67" s="2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/>
      <c r="B68" s="16"/>
      <c r="C68" s="2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/>
      <c r="B69" s="16"/>
      <c r="C69" s="2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/>
      <c r="B70" s="16"/>
      <c r="C70" s="2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/>
      <c r="B71" s="16"/>
      <c r="C71" s="2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/>
      <c r="B72" s="16"/>
      <c r="C72" s="2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/>
      <c r="B73" s="16"/>
      <c r="C73" s="2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/>
      <c r="B74" s="16"/>
      <c r="C74" s="2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/>
      <c r="B75" s="16"/>
      <c r="C75" s="2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/>
      <c r="B76" s="16"/>
      <c r="C76" s="2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/>
      <c r="B77" s="16"/>
      <c r="C77" s="2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/>
      <c r="B78" s="16"/>
      <c r="C78" s="2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/>
      <c r="B79" s="16"/>
      <c r="C79" s="2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/>
      <c r="B80" s="16"/>
      <c r="C80" s="2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/>
      <c r="B81" s="16"/>
      <c r="C81" s="2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/>
      <c r="B82" s="16"/>
      <c r="C82" s="2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/>
      <c r="B83" s="16"/>
      <c r="C83" s="2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/>
      <c r="B84" s="16"/>
      <c r="C84" s="2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/>
      <c r="B85" s="16"/>
      <c r="C85" s="2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/>
      <c r="B86" s="16"/>
      <c r="C86" s="2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/>
      <c r="B87" s="16"/>
      <c r="C87" s="2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/>
      <c r="B88" s="16"/>
      <c r="C88" s="2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/>
      <c r="B89" s="16"/>
      <c r="C89" s="2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/>
      <c r="B90" s="16"/>
      <c r="C90" s="2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/>
      <c r="B91" s="16"/>
      <c r="C91" s="2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/>
      <c r="B92" s="16"/>
      <c r="C92" s="2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O53:P53"/>
    <mergeCell ref="O54:P54"/>
    <mergeCell ref="O55:P55"/>
    <mergeCell ref="O56:P56"/>
    <mergeCell ref="O57:P57"/>
    <mergeCell ref="O48:P48"/>
    <mergeCell ref="O49:P49"/>
    <mergeCell ref="O50:P50"/>
    <mergeCell ref="O51:P51"/>
    <mergeCell ref="O52:P52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O47:P47"/>
    <mergeCell ref="O37:P3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N16:P16"/>
    <mergeCell ref="A15:P15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A16:A20"/>
    <mergeCell ref="B16:E16"/>
    <mergeCell ref="F16:H16"/>
    <mergeCell ref="I16:I20"/>
    <mergeCell ref="J16:M16"/>
    <mergeCell ref="Q29:V29"/>
    <mergeCell ref="B17:C17"/>
    <mergeCell ref="F17:G17"/>
    <mergeCell ref="J17:K17"/>
    <mergeCell ref="N17:O17"/>
    <mergeCell ref="D22:H22"/>
    <mergeCell ref="J22:K22"/>
    <mergeCell ref="L22:N22"/>
    <mergeCell ref="O22:P23"/>
  </mergeCells>
  <conditionalFormatting sqref="D12">
    <cfRule type="cellIs" dxfId="747" priority="42" operator="greaterThan">
      <formula>$C$12</formula>
    </cfRule>
    <cfRule type="cellIs" dxfId="746" priority="38" operator="lessThan">
      <formula>$C$12</formula>
    </cfRule>
  </conditionalFormatting>
  <conditionalFormatting sqref="D13">
    <cfRule type="cellIs" dxfId="745" priority="41" operator="greaterThan">
      <formula>$C$13</formula>
    </cfRule>
    <cfRule type="cellIs" dxfId="744" priority="37" operator="lessThan">
      <formula>$C$13</formula>
    </cfRule>
  </conditionalFormatting>
  <conditionalFormatting sqref="D14 D20">
    <cfRule type="cellIs" dxfId="743" priority="40" operator="greaterThan">
      <formula>$C$14</formula>
    </cfRule>
    <cfRule type="cellIs" dxfId="742" priority="36" operator="lessThan">
      <formula>$C$14</formula>
    </cfRule>
  </conditionalFormatting>
  <conditionalFormatting sqref="D18">
    <cfRule type="cellIs" dxfId="741" priority="11" operator="lessThan">
      <formula>$C$12</formula>
    </cfRule>
    <cfRule type="cellIs" dxfId="740" priority="14" operator="greaterThan">
      <formula>$C$12</formula>
    </cfRule>
  </conditionalFormatting>
  <conditionalFormatting sqref="D19">
    <cfRule type="cellIs" dxfId="739" priority="13" operator="greaterThan">
      <formula>$C$13</formula>
    </cfRule>
    <cfRule type="cellIs" dxfId="738" priority="10" operator="lessThan">
      <formula>$C$13</formula>
    </cfRule>
  </conditionalFormatting>
  <conditionalFormatting sqref="D38:D57">
    <cfRule type="cellIs" dxfId="737" priority="44" operator="greaterThan">
      <formula>$D$34</formula>
    </cfRule>
    <cfRule type="cellIs" dxfId="736" priority="43" operator="lessThan">
      <formula>$D$33</formula>
    </cfRule>
    <cfRule type="cellIs" dxfId="735" priority="45" operator="between">
      <formula>$D$33</formula>
      <formula>$D$34</formula>
    </cfRule>
  </conditionalFormatting>
  <conditionalFormatting sqref="E38:E57">
    <cfRule type="cellIs" dxfId="734" priority="46" operator="lessThan">
      <formula>$E$34</formula>
    </cfRule>
    <cfRule type="cellIs" dxfId="733" priority="47" operator="greaterThan">
      <formula>$E$34</formula>
    </cfRule>
  </conditionalFormatting>
  <conditionalFormatting sqref="H12">
    <cfRule type="cellIs" dxfId="732" priority="39" operator="between">
      <formula>$G$13</formula>
      <formula>$G$14</formula>
    </cfRule>
    <cfRule type="cellIs" dxfId="731" priority="34" operator="lessThan">
      <formula>$G$14</formula>
    </cfRule>
    <cfRule type="cellIs" dxfId="730" priority="35" operator="greaterThan">
      <formula>$G$13</formula>
    </cfRule>
  </conditionalFormatting>
  <conditionalFormatting sqref="H18">
    <cfRule type="cellIs" dxfId="729" priority="8" operator="lessThan">
      <formula>$G$14</formula>
    </cfRule>
    <cfRule type="cellIs" dxfId="728" priority="9" operator="greaterThan">
      <formula>$G$13</formula>
    </cfRule>
    <cfRule type="cellIs" dxfId="727" priority="12" operator="between">
      <formula>$G$13</formula>
      <formula>$G$14</formula>
    </cfRule>
  </conditionalFormatting>
  <conditionalFormatting sqref="H38:H57">
    <cfRule type="cellIs" dxfId="726" priority="48" operator="lessThan">
      <formula>$H$34</formula>
    </cfRule>
    <cfRule type="cellIs" dxfId="725" priority="49" operator="greaterThan">
      <formula>$H$34</formula>
    </cfRule>
  </conditionalFormatting>
  <conditionalFormatting sqref="I38:I57">
    <cfRule type="cellIs" dxfId="724" priority="50" operator="lessThan">
      <formula>$I$34</formula>
    </cfRule>
    <cfRule type="cellIs" dxfId="723" priority="51" operator="greaterThan">
      <formula>$I$34</formula>
    </cfRule>
  </conditionalFormatting>
  <conditionalFormatting sqref="J38:J57">
    <cfRule type="cellIs" dxfId="722" priority="15" operator="lessThan">
      <formula>$J$34</formula>
    </cfRule>
    <cfRule type="cellIs" dxfId="721" priority="16" operator="greaterThan">
      <formula>$K$34</formula>
    </cfRule>
    <cfRule type="cellIs" dxfId="720" priority="17" operator="between">
      <formula>$J$34</formula>
      <formula>$K$34</formula>
    </cfRule>
  </conditionalFormatting>
  <conditionalFormatting sqref="L12">
    <cfRule type="cellIs" dxfId="719" priority="33" operator="greaterThan">
      <formula>$K$12</formula>
    </cfRule>
    <cfRule type="cellIs" dxfId="718" priority="32" operator="lessThan">
      <formula>$K$12</formula>
    </cfRule>
  </conditionalFormatting>
  <conditionalFormatting sqref="L13">
    <cfRule type="cellIs" dxfId="717" priority="31" operator="greaterThan">
      <formula>$K$13</formula>
    </cfRule>
    <cfRule type="cellIs" dxfId="716" priority="30" operator="lessThan">
      <formula>$K$13</formula>
    </cfRule>
  </conditionalFormatting>
  <conditionalFormatting sqref="L14 L20">
    <cfRule type="cellIs" dxfId="715" priority="28" operator="lessThan">
      <formula>$K$14</formula>
    </cfRule>
    <cfRule type="cellIs" dxfId="714" priority="29" operator="greaterThan">
      <formula>$K$14</formula>
    </cfRule>
  </conditionalFormatting>
  <conditionalFormatting sqref="L18">
    <cfRule type="cellIs" dxfId="713" priority="6" operator="lessThan">
      <formula>$K$12</formula>
    </cfRule>
    <cfRule type="cellIs" dxfId="712" priority="7" operator="greaterThan">
      <formula>$K$12</formula>
    </cfRule>
  </conditionalFormatting>
  <conditionalFormatting sqref="L19">
    <cfRule type="cellIs" dxfId="711" priority="5" operator="greaterThan">
      <formula>$K$13</formula>
    </cfRule>
    <cfRule type="cellIs" dxfId="710" priority="4" operator="lessThan">
      <formula>$K$13</formula>
    </cfRule>
  </conditionalFormatting>
  <conditionalFormatting sqref="M38:M57">
    <cfRule type="cellIs" dxfId="709" priority="52" operator="lessThan">
      <formula>$M$34</formula>
    </cfRule>
    <cfRule type="cellIs" dxfId="708" priority="53" operator="greaterThan">
      <formula>$M$34</formula>
    </cfRule>
  </conditionalFormatting>
  <conditionalFormatting sqref="O38:O57">
    <cfRule type="containsText" dxfId="707" priority="24" operator="containsText" text="Detect">
      <formula>NOT(ISERROR(SEARCH("Detect",O38)))</formula>
    </cfRule>
    <cfRule type="containsText" dxfId="706" priority="54" operator="containsText" text="ND">
      <formula>NOT(ISERROR(SEARCH("ND",O38)))</formula>
    </cfRule>
  </conditionalFormatting>
  <conditionalFormatting sqref="O38:P92">
    <cfRule type="expression" dxfId="705" priority="23">
      <formula>$O38="Detect with IS Supp"</formula>
    </cfRule>
  </conditionalFormatting>
  <conditionalFormatting sqref="P12">
    <cfRule type="cellIs" dxfId="704" priority="27" operator="between">
      <formula>$O$13</formula>
      <formula>$O$14</formula>
    </cfRule>
    <cfRule type="cellIs" dxfId="703" priority="26" operator="greaterThan">
      <formula>$O$13</formula>
    </cfRule>
    <cfRule type="cellIs" dxfId="702" priority="25" operator="lessThan">
      <formula>$O$14</formula>
    </cfRule>
  </conditionalFormatting>
  <conditionalFormatting sqref="P18">
    <cfRule type="cellIs" dxfId="701" priority="1" operator="lessThan">
      <formula>$O$14</formula>
    </cfRule>
    <cfRule type="cellIs" dxfId="700" priority="3" operator="between">
      <formula>$O$13</formula>
      <formula>$O$14</formula>
    </cfRule>
    <cfRule type="cellIs" dxfId="699" priority="2" operator="greaterThan">
      <formula>$O$13</formula>
    </cfRule>
  </conditionalFormatting>
  <conditionalFormatting sqref="Q38:U57">
    <cfRule type="containsText" dxfId="698" priority="20" operator="containsText" text="Y">
      <formula>NOT(ISERROR(SEARCH("Y",Q38)))</formula>
    </cfRule>
    <cfRule type="containsText" dxfId="697" priority="21" operator="containsText" text="N">
      <formula>NOT(ISERROR(SEARCH("N",Q38)))</formula>
    </cfRule>
  </conditionalFormatting>
  <conditionalFormatting sqref="V38:V57">
    <cfRule type="containsText" dxfId="696" priority="19" operator="containsText" text="Fail">
      <formula>NOT(ISERROR(SEARCH("Fail",V38)))</formula>
    </cfRule>
    <cfRule type="containsText" dxfId="695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2"/>
  <sheetViews>
    <sheetView topLeftCell="A32" workbookViewId="0">
      <selection activeCell="O38" sqref="O38:P57"/>
    </sheetView>
  </sheetViews>
  <sheetFormatPr defaultRowHeight="15" x14ac:dyDescent="0.25"/>
  <cols>
    <col min="1" max="1" width="17.42578125" customWidth="1"/>
    <col min="2" max="2" width="17.2851562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710937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111899.25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281556.5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10.666411223860599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10.693406870832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82640.4604396715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74113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111899.25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281556.5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10.666411223860599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10.693406870832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82640.4604396715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74113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Amphetamine Results</v>
      </c>
      <c r="E22" s="95"/>
      <c r="F22" s="95"/>
      <c r="G22" s="95"/>
      <c r="H22" s="96"/>
      <c r="I22" s="20" t="str">
        <f>I60</f>
        <v>Qualifier (136.1 -&gt; 119.0) Method</v>
      </c>
      <c r="J22" s="94" t="str">
        <f>J60</f>
        <v>Qualifier (136.1 -&gt; 119.0) Results</v>
      </c>
      <c r="K22" s="96"/>
      <c r="L22" s="94" t="str">
        <f>L60</f>
        <v>Amphetamine D5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Z28" s="5"/>
      <c r="AA28" s="5"/>
      <c r="AB28" s="5"/>
      <c r="AC28" s="5"/>
      <c r="AD28" s="5"/>
    </row>
    <row r="29" spans="1:39" ht="15.75" x14ac:dyDescent="0.25">
      <c r="A29" s="159" t="s">
        <v>47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1"/>
      <c r="Q29" s="63" t="s">
        <v>48</v>
      </c>
      <c r="R29" s="64"/>
      <c r="S29" s="64"/>
      <c r="T29" s="64"/>
      <c r="U29" s="64"/>
      <c r="V29" s="64"/>
      <c r="Z29" s="5"/>
      <c r="AA29" s="5"/>
      <c r="AB29" s="5"/>
    </row>
    <row r="30" spans="1:39" ht="15.75" x14ac:dyDescent="0.25">
      <c r="A30" s="162" t="s">
        <v>49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/>
      <c r="Q30" s="41"/>
      <c r="R30" s="42"/>
      <c r="S30" s="42"/>
      <c r="T30" s="42"/>
      <c r="U30" s="42"/>
      <c r="V30" s="42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31.5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82640.4604396715</v>
      </c>
      <c r="N34" s="58"/>
      <c r="O34" s="132"/>
      <c r="P34" s="133"/>
      <c r="Q34" s="45"/>
      <c r="R34" s="45"/>
      <c r="S34" s="45"/>
      <c r="T34" s="45"/>
      <c r="U34" s="45"/>
      <c r="V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Amphetamine Results</v>
      </c>
      <c r="E36" s="114"/>
      <c r="F36" s="114"/>
      <c r="G36" s="114"/>
      <c r="H36" s="114"/>
      <c r="I36" s="13" t="str">
        <f>I22</f>
        <v>Qualifier (136.1 -&gt; 119.0) Method</v>
      </c>
      <c r="J36" s="114" t="str">
        <f>J22</f>
        <v>Qualifier (136.1 -&gt; 119.0) Results</v>
      </c>
      <c r="K36" s="114"/>
      <c r="L36" s="114" t="str">
        <f>L22</f>
        <v>Amphetamine D5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6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78</v>
      </c>
      <c r="E60" s="16"/>
      <c r="F60" s="16"/>
      <c r="G60" s="16"/>
      <c r="H60" s="16"/>
      <c r="I60" s="16" t="s">
        <v>79</v>
      </c>
      <c r="J60" s="16" t="s">
        <v>80</v>
      </c>
      <c r="K60" s="16"/>
      <c r="L60" s="16" t="s">
        <v>81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O53:P53"/>
    <mergeCell ref="O54:P54"/>
    <mergeCell ref="O55:P55"/>
    <mergeCell ref="O56:P56"/>
    <mergeCell ref="O57:P57"/>
    <mergeCell ref="O48:P48"/>
    <mergeCell ref="O49:P49"/>
    <mergeCell ref="O50:P50"/>
    <mergeCell ref="O51:P51"/>
    <mergeCell ref="O52:P52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D22:H22"/>
    <mergeCell ref="J22:K22"/>
    <mergeCell ref="L22:N22"/>
    <mergeCell ref="O22:P23"/>
    <mergeCell ref="O24:P27"/>
    <mergeCell ref="O37:P3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O43:P43"/>
    <mergeCell ref="O44:P44"/>
    <mergeCell ref="O45:P45"/>
    <mergeCell ref="O46:P46"/>
    <mergeCell ref="O47:P47"/>
    <mergeCell ref="O38:P38"/>
    <mergeCell ref="O39:P39"/>
    <mergeCell ref="O40:P40"/>
    <mergeCell ref="O41:P41"/>
    <mergeCell ref="O42:P42"/>
    <mergeCell ref="A59:P59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E34:F34"/>
    <mergeCell ref="D36:H36"/>
    <mergeCell ref="J36:K36"/>
    <mergeCell ref="L36:N36"/>
  </mergeCells>
  <conditionalFormatting sqref="D12">
    <cfRule type="cellIs" dxfId="694" priority="60" operator="greaterThan">
      <formula>$C$12</formula>
    </cfRule>
    <cfRule type="cellIs" dxfId="693" priority="56" operator="lessThan">
      <formula>$C$12</formula>
    </cfRule>
  </conditionalFormatting>
  <conditionalFormatting sqref="D13">
    <cfRule type="cellIs" dxfId="692" priority="55" operator="lessThan">
      <formula>$C$13</formula>
    </cfRule>
    <cfRule type="cellIs" dxfId="691" priority="59" operator="greaterThan">
      <formula>$C$13</formula>
    </cfRule>
  </conditionalFormatting>
  <conditionalFormatting sqref="D14">
    <cfRule type="cellIs" dxfId="690" priority="54" operator="lessThan">
      <formula>$C$14</formula>
    </cfRule>
    <cfRule type="cellIs" dxfId="689" priority="58" operator="greaterThan">
      <formula>$C$14</formula>
    </cfRule>
  </conditionalFormatting>
  <conditionalFormatting sqref="D18">
    <cfRule type="cellIs" dxfId="688" priority="11" operator="lessThan">
      <formula>$C$12</formula>
    </cfRule>
    <cfRule type="cellIs" dxfId="687" priority="14" operator="greaterThan">
      <formula>$C$12</formula>
    </cfRule>
  </conditionalFormatting>
  <conditionalFormatting sqref="D19">
    <cfRule type="cellIs" dxfId="686" priority="10" operator="lessThan">
      <formula>$C$13</formula>
    </cfRule>
    <cfRule type="cellIs" dxfId="685" priority="13" operator="greaterThan">
      <formula>$C$13</formula>
    </cfRule>
  </conditionalFormatting>
  <conditionalFormatting sqref="D20">
    <cfRule type="cellIs" dxfId="684" priority="17" operator="lessThan">
      <formula>$C$14</formula>
    </cfRule>
    <cfRule type="cellIs" dxfId="683" priority="18" operator="greaterThan">
      <formula>$C$14</formula>
    </cfRule>
  </conditionalFormatting>
  <conditionalFormatting sqref="D38:D57">
    <cfRule type="cellIs" dxfId="682" priority="61" operator="lessThan">
      <formula>$D$33</formula>
    </cfRule>
    <cfRule type="cellIs" dxfId="681" priority="62" operator="greaterThan">
      <formula>$D$34</formula>
    </cfRule>
    <cfRule type="cellIs" dxfId="680" priority="63" operator="between">
      <formula>$D$33</formula>
      <formula>$D$34</formula>
    </cfRule>
  </conditionalFormatting>
  <conditionalFormatting sqref="E38:E57">
    <cfRule type="cellIs" dxfId="679" priority="65" operator="greaterThan">
      <formula>$E$34</formula>
    </cfRule>
    <cfRule type="cellIs" dxfId="678" priority="64" operator="lessThan">
      <formula>$E$34</formula>
    </cfRule>
  </conditionalFormatting>
  <conditionalFormatting sqref="H12">
    <cfRule type="cellIs" dxfId="677" priority="53" operator="greaterThan">
      <formula>$G$13</formula>
    </cfRule>
    <cfRule type="cellIs" dxfId="676" priority="57" operator="between">
      <formula>$G$13</formula>
      <formula>$G$14</formula>
    </cfRule>
    <cfRule type="cellIs" dxfId="675" priority="52" operator="lessThan">
      <formula>$G$14</formula>
    </cfRule>
  </conditionalFormatting>
  <conditionalFormatting sqref="H18">
    <cfRule type="cellIs" dxfId="674" priority="8" operator="lessThan">
      <formula>$G$14</formula>
    </cfRule>
    <cfRule type="cellIs" dxfId="673" priority="9" operator="greaterThan">
      <formula>$G$13</formula>
    </cfRule>
    <cfRule type="cellIs" dxfId="672" priority="12" operator="between">
      <formula>$G$13</formula>
      <formula>$G$14</formula>
    </cfRule>
  </conditionalFormatting>
  <conditionalFormatting sqref="H38:H57">
    <cfRule type="cellIs" dxfId="671" priority="66" operator="lessThan">
      <formula>$H$34</formula>
    </cfRule>
    <cfRule type="cellIs" dxfId="670" priority="67" operator="greaterThan">
      <formula>$H$34</formula>
    </cfRule>
  </conditionalFormatting>
  <conditionalFormatting sqref="I38:I57">
    <cfRule type="cellIs" dxfId="669" priority="69" operator="greaterThan">
      <formula>$I$34</formula>
    </cfRule>
    <cfRule type="cellIs" dxfId="668" priority="68" operator="lessThan">
      <formula>$I$34</formula>
    </cfRule>
  </conditionalFormatting>
  <conditionalFormatting sqref="J38:J57">
    <cfRule type="cellIs" dxfId="667" priority="33" operator="lessThan">
      <formula>$J$34</formula>
    </cfRule>
    <cfRule type="cellIs" dxfId="666" priority="34" operator="greaterThan">
      <formula>$K$34</formula>
    </cfRule>
    <cfRule type="cellIs" dxfId="665" priority="35" operator="between">
      <formula>$J$34</formula>
      <formula>$K$34</formula>
    </cfRule>
  </conditionalFormatting>
  <conditionalFormatting sqref="L12">
    <cfRule type="cellIs" dxfId="664" priority="51" operator="greaterThan">
      <formula>$K$12</formula>
    </cfRule>
    <cfRule type="cellIs" dxfId="663" priority="50" operator="lessThan">
      <formula>$K$12</formula>
    </cfRule>
  </conditionalFormatting>
  <conditionalFormatting sqref="L13">
    <cfRule type="cellIs" dxfId="662" priority="49" operator="greaterThan">
      <formula>$K$13</formula>
    </cfRule>
    <cfRule type="cellIs" dxfId="661" priority="48" operator="lessThan">
      <formula>$K$13</formula>
    </cfRule>
  </conditionalFormatting>
  <conditionalFormatting sqref="L14">
    <cfRule type="cellIs" dxfId="660" priority="46" operator="lessThan">
      <formula>$K$14</formula>
    </cfRule>
    <cfRule type="cellIs" dxfId="659" priority="47" operator="greaterThan">
      <formula>$K$14</formula>
    </cfRule>
  </conditionalFormatting>
  <conditionalFormatting sqref="L18">
    <cfRule type="cellIs" dxfId="658" priority="7" operator="greaterThan">
      <formula>$K$12</formula>
    </cfRule>
    <cfRule type="cellIs" dxfId="657" priority="6" operator="lessThan">
      <formula>$K$12</formula>
    </cfRule>
  </conditionalFormatting>
  <conditionalFormatting sqref="L19">
    <cfRule type="cellIs" dxfId="656" priority="5" operator="greaterThan">
      <formula>$K$13</formula>
    </cfRule>
    <cfRule type="cellIs" dxfId="655" priority="4" operator="lessThan">
      <formula>$K$13</formula>
    </cfRule>
  </conditionalFormatting>
  <conditionalFormatting sqref="L20">
    <cfRule type="cellIs" dxfId="654" priority="15" operator="lessThan">
      <formula>$K$14</formula>
    </cfRule>
    <cfRule type="cellIs" dxfId="653" priority="16" operator="greaterThan">
      <formula>$K$14</formula>
    </cfRule>
  </conditionalFormatting>
  <conditionalFormatting sqref="M38:M57">
    <cfRule type="cellIs" dxfId="652" priority="70" operator="lessThan">
      <formula>$M$34</formula>
    </cfRule>
    <cfRule type="cellIs" dxfId="651" priority="71" operator="greaterThan">
      <formula>$M$34</formula>
    </cfRule>
  </conditionalFormatting>
  <conditionalFormatting sqref="O38:O57">
    <cfRule type="containsText" dxfId="650" priority="42" operator="containsText" text="Detect">
      <formula>NOT(ISERROR(SEARCH("Detect",O38)))</formula>
    </cfRule>
    <cfRule type="containsText" dxfId="649" priority="72" operator="containsText" text="ND">
      <formula>NOT(ISERROR(SEARCH("ND",O38)))</formula>
    </cfRule>
  </conditionalFormatting>
  <conditionalFormatting sqref="O38:P92">
    <cfRule type="expression" dxfId="648" priority="41">
      <formula>$O38="Detect with IS Supp"</formula>
    </cfRule>
  </conditionalFormatting>
  <conditionalFormatting sqref="P12">
    <cfRule type="cellIs" dxfId="647" priority="44" operator="greaterThan">
      <formula>$O$13</formula>
    </cfRule>
    <cfRule type="cellIs" dxfId="646" priority="45" operator="between">
      <formula>$O$13</formula>
      <formula>$O$14</formula>
    </cfRule>
    <cfRule type="cellIs" dxfId="645" priority="43" operator="lessThan">
      <formula>$O$14</formula>
    </cfRule>
  </conditionalFormatting>
  <conditionalFormatting sqref="P18">
    <cfRule type="cellIs" dxfId="644" priority="1" operator="lessThan">
      <formula>$O$14</formula>
    </cfRule>
    <cfRule type="cellIs" dxfId="643" priority="3" operator="between">
      <formula>$O$13</formula>
      <formula>$O$14</formula>
    </cfRule>
    <cfRule type="cellIs" dxfId="642" priority="2" operator="greaterThan">
      <formula>$O$13</formula>
    </cfRule>
  </conditionalFormatting>
  <conditionalFormatting sqref="Q38:U57">
    <cfRule type="containsText" dxfId="641" priority="39" operator="containsText" text="N">
      <formula>NOT(ISERROR(SEARCH("N",Q38)))</formula>
    </cfRule>
    <cfRule type="containsText" dxfId="640" priority="38" operator="containsText" text="Y">
      <formula>NOT(ISERROR(SEARCH("Y",Q38)))</formula>
    </cfRule>
  </conditionalFormatting>
  <conditionalFormatting sqref="V38:V57">
    <cfRule type="containsText" dxfId="639" priority="36" operator="containsText" text="Pass">
      <formula>NOT(ISERROR(SEARCH("Pass",V38)))</formula>
    </cfRule>
    <cfRule type="containsText" dxfId="638" priority="37" operator="containsText" text="Fail">
      <formula>NOT(ISERROR(SEARCH("Fail",V38)))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92"/>
  <sheetViews>
    <sheetView topLeftCell="A29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8554687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3579.0921535154498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78978.634809331255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96.312870809214246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97.275000000000006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55805.874229975248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55871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3579.0921535154498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78978.634809331255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96.312870809214246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97.275000000000006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55805.874229975248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55871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45" x14ac:dyDescent="0.25">
      <c r="A22" s="20" t="s">
        <v>35</v>
      </c>
      <c r="B22" s="19"/>
      <c r="C22" s="19"/>
      <c r="D22" s="94" t="str">
        <f>D60</f>
        <v>Norfentanyl Results</v>
      </c>
      <c r="E22" s="95"/>
      <c r="F22" s="95"/>
      <c r="G22" s="95"/>
      <c r="H22" s="96"/>
      <c r="I22" s="20" t="str">
        <f>I60</f>
        <v>Qualifier (233.2 -&gt; 84.1) Method</v>
      </c>
      <c r="J22" s="94" t="str">
        <f>J60</f>
        <v>Qualifier (233.2 -&gt; 84.1) Results</v>
      </c>
      <c r="K22" s="96"/>
      <c r="L22" s="94" t="str">
        <f>L60</f>
        <v>Norfentanyl D5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63" t="s">
        <v>48</v>
      </c>
      <c r="R29" s="64"/>
      <c r="S29" s="64"/>
      <c r="T29" s="64"/>
      <c r="U29" s="64"/>
      <c r="V29" s="64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28.5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55805.874229975248</v>
      </c>
      <c r="N34" s="58"/>
      <c r="O34" s="132"/>
      <c r="P34" s="133"/>
      <c r="Q34" s="45"/>
      <c r="R34" s="45"/>
      <c r="S34" s="45"/>
      <c r="T34" s="45"/>
      <c r="U34" s="45"/>
      <c r="V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45" x14ac:dyDescent="0.25">
      <c r="A36" s="13" t="s">
        <v>35</v>
      </c>
      <c r="B36" s="27"/>
      <c r="C36" s="27"/>
      <c r="D36" s="114" t="str">
        <f>D22</f>
        <v>Norfentanyl Results</v>
      </c>
      <c r="E36" s="114"/>
      <c r="F36" s="114"/>
      <c r="G36" s="114"/>
      <c r="H36" s="114"/>
      <c r="I36" s="13" t="str">
        <f>I22</f>
        <v>Qualifier (233.2 -&gt; 84.1) Method</v>
      </c>
      <c r="J36" s="114" t="str">
        <f>J22</f>
        <v>Qualifier (233.2 -&gt; 84.1) Results</v>
      </c>
      <c r="K36" s="114"/>
      <c r="L36" s="114" t="str">
        <f>L22</f>
        <v>Norfentanyl D5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82</v>
      </c>
      <c r="E60" s="16"/>
      <c r="F60" s="16"/>
      <c r="G60" s="16"/>
      <c r="H60" s="16"/>
      <c r="I60" s="16" t="s">
        <v>83</v>
      </c>
      <c r="J60" s="16" t="s">
        <v>84</v>
      </c>
      <c r="K60" s="16"/>
      <c r="L60" s="16" t="s">
        <v>85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O53:P53"/>
    <mergeCell ref="O54:P54"/>
    <mergeCell ref="O55:P55"/>
    <mergeCell ref="O56:P56"/>
    <mergeCell ref="O57:P57"/>
    <mergeCell ref="O48:P48"/>
    <mergeCell ref="O49:P49"/>
    <mergeCell ref="O50:P50"/>
    <mergeCell ref="O51:P51"/>
    <mergeCell ref="O52:P52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D22:H22"/>
    <mergeCell ref="J22:K22"/>
    <mergeCell ref="L22:N22"/>
    <mergeCell ref="O22:P23"/>
    <mergeCell ref="O24:P2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7:P37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</mergeCells>
  <conditionalFormatting sqref="D12">
    <cfRule type="cellIs" dxfId="637" priority="42" operator="greaterThan">
      <formula>$C$12</formula>
    </cfRule>
    <cfRule type="cellIs" dxfId="636" priority="38" operator="lessThan">
      <formula>$C$12</formula>
    </cfRule>
  </conditionalFormatting>
  <conditionalFormatting sqref="D13">
    <cfRule type="cellIs" dxfId="635" priority="41" operator="greaterThan">
      <formula>$C$13</formula>
    </cfRule>
    <cfRule type="cellIs" dxfId="634" priority="37" operator="lessThan">
      <formula>$C$13</formula>
    </cfRule>
  </conditionalFormatting>
  <conditionalFormatting sqref="D14 D20">
    <cfRule type="cellIs" dxfId="633" priority="40" operator="greaterThan">
      <formula>$C$14</formula>
    </cfRule>
    <cfRule type="cellIs" dxfId="632" priority="36" operator="lessThan">
      <formula>$C$14</formula>
    </cfRule>
  </conditionalFormatting>
  <conditionalFormatting sqref="D18">
    <cfRule type="cellIs" dxfId="631" priority="11" operator="lessThan">
      <formula>$C$12</formula>
    </cfRule>
    <cfRule type="cellIs" dxfId="630" priority="14" operator="greaterThan">
      <formula>$C$12</formula>
    </cfRule>
  </conditionalFormatting>
  <conditionalFormatting sqref="D19">
    <cfRule type="cellIs" dxfId="629" priority="13" operator="greaterThan">
      <formula>$C$13</formula>
    </cfRule>
    <cfRule type="cellIs" dxfId="628" priority="10" operator="lessThan">
      <formula>$C$13</formula>
    </cfRule>
  </conditionalFormatting>
  <conditionalFormatting sqref="D38:D57">
    <cfRule type="cellIs" dxfId="627" priority="44" operator="greaterThan">
      <formula>$D$34</formula>
    </cfRule>
    <cfRule type="cellIs" dxfId="626" priority="43" operator="lessThan">
      <formula>$D$33</formula>
    </cfRule>
    <cfRule type="cellIs" dxfId="625" priority="45" operator="between">
      <formula>$D$33</formula>
      <formula>$D$34</formula>
    </cfRule>
  </conditionalFormatting>
  <conditionalFormatting sqref="E38:E57">
    <cfRule type="cellIs" dxfId="624" priority="46" operator="lessThan">
      <formula>$E$34</formula>
    </cfRule>
    <cfRule type="cellIs" dxfId="623" priority="47" operator="greaterThan">
      <formula>$E$34</formula>
    </cfRule>
  </conditionalFormatting>
  <conditionalFormatting sqref="H12">
    <cfRule type="cellIs" dxfId="622" priority="39" operator="between">
      <formula>$G$13</formula>
      <formula>$G$14</formula>
    </cfRule>
    <cfRule type="cellIs" dxfId="621" priority="34" operator="lessThan">
      <formula>$G$14</formula>
    </cfRule>
    <cfRule type="cellIs" dxfId="620" priority="35" operator="greaterThan">
      <formula>$G$13</formula>
    </cfRule>
  </conditionalFormatting>
  <conditionalFormatting sqref="H18">
    <cfRule type="cellIs" dxfId="619" priority="8" operator="lessThan">
      <formula>$G$14</formula>
    </cfRule>
    <cfRule type="cellIs" dxfId="618" priority="9" operator="greaterThan">
      <formula>$G$13</formula>
    </cfRule>
    <cfRule type="cellIs" dxfId="617" priority="12" operator="between">
      <formula>$G$13</formula>
      <formula>$G$14</formula>
    </cfRule>
  </conditionalFormatting>
  <conditionalFormatting sqref="H38:H57">
    <cfRule type="cellIs" dxfId="616" priority="48" operator="lessThan">
      <formula>$H$34</formula>
    </cfRule>
    <cfRule type="cellIs" dxfId="615" priority="49" operator="greaterThan">
      <formula>$H$34</formula>
    </cfRule>
  </conditionalFormatting>
  <conditionalFormatting sqref="I38:I57">
    <cfRule type="cellIs" dxfId="614" priority="50" operator="lessThan">
      <formula>$I$34</formula>
    </cfRule>
    <cfRule type="cellIs" dxfId="613" priority="51" operator="greaterThan">
      <formula>$I$34</formula>
    </cfRule>
  </conditionalFormatting>
  <conditionalFormatting sqref="J38:J57">
    <cfRule type="cellIs" dxfId="612" priority="15" operator="lessThan">
      <formula>$J$34</formula>
    </cfRule>
    <cfRule type="cellIs" dxfId="611" priority="16" operator="greaterThan">
      <formula>$K$34</formula>
    </cfRule>
    <cfRule type="cellIs" dxfId="610" priority="17" operator="between">
      <formula>$J$34</formula>
      <formula>$K$34</formula>
    </cfRule>
  </conditionalFormatting>
  <conditionalFormatting sqref="L12">
    <cfRule type="cellIs" dxfId="609" priority="33" operator="greaterThan">
      <formula>$K$12</formula>
    </cfRule>
    <cfRule type="cellIs" dxfId="608" priority="32" operator="lessThan">
      <formula>$K$12</formula>
    </cfRule>
  </conditionalFormatting>
  <conditionalFormatting sqref="L13">
    <cfRule type="cellIs" dxfId="607" priority="31" operator="greaterThan">
      <formula>$K$13</formula>
    </cfRule>
    <cfRule type="cellIs" dxfId="606" priority="30" operator="lessThan">
      <formula>$K$13</formula>
    </cfRule>
  </conditionalFormatting>
  <conditionalFormatting sqref="L14 L20">
    <cfRule type="cellIs" dxfId="605" priority="28" operator="lessThan">
      <formula>$K$14</formula>
    </cfRule>
    <cfRule type="cellIs" dxfId="604" priority="29" operator="greaterThan">
      <formula>$K$14</formula>
    </cfRule>
  </conditionalFormatting>
  <conditionalFormatting sqref="L18">
    <cfRule type="cellIs" dxfId="603" priority="6" operator="lessThan">
      <formula>$K$12</formula>
    </cfRule>
    <cfRule type="cellIs" dxfId="602" priority="7" operator="greaterThan">
      <formula>$K$12</formula>
    </cfRule>
  </conditionalFormatting>
  <conditionalFormatting sqref="L19">
    <cfRule type="cellIs" dxfId="601" priority="5" operator="greaterThan">
      <formula>$K$13</formula>
    </cfRule>
    <cfRule type="cellIs" dxfId="600" priority="4" operator="lessThan">
      <formula>$K$13</formula>
    </cfRule>
  </conditionalFormatting>
  <conditionalFormatting sqref="M38:M57">
    <cfRule type="cellIs" dxfId="599" priority="52" operator="lessThan">
      <formula>$M$34</formula>
    </cfRule>
    <cfRule type="cellIs" dxfId="598" priority="53" operator="greaterThan">
      <formula>$M$34</formula>
    </cfRule>
  </conditionalFormatting>
  <conditionalFormatting sqref="O38:O57">
    <cfRule type="containsText" dxfId="597" priority="24" operator="containsText" text="Detect">
      <formula>NOT(ISERROR(SEARCH("Detect",O38)))</formula>
    </cfRule>
    <cfRule type="containsText" dxfId="596" priority="54" operator="containsText" text="ND">
      <formula>NOT(ISERROR(SEARCH("ND",O38)))</formula>
    </cfRule>
  </conditionalFormatting>
  <conditionalFormatting sqref="O38:P92">
    <cfRule type="expression" dxfId="595" priority="23">
      <formula>$O38="Detect with IS Supp"</formula>
    </cfRule>
  </conditionalFormatting>
  <conditionalFormatting sqref="P12">
    <cfRule type="cellIs" dxfId="594" priority="27" operator="between">
      <formula>$O$13</formula>
      <formula>$O$14</formula>
    </cfRule>
    <cfRule type="cellIs" dxfId="593" priority="26" operator="greaterThan">
      <formula>$O$13</formula>
    </cfRule>
    <cfRule type="cellIs" dxfId="592" priority="25" operator="lessThan">
      <formula>$O$14</formula>
    </cfRule>
  </conditionalFormatting>
  <conditionalFormatting sqref="P18">
    <cfRule type="cellIs" dxfId="591" priority="1" operator="lessThan">
      <formula>$O$14</formula>
    </cfRule>
    <cfRule type="cellIs" dxfId="590" priority="3" operator="between">
      <formula>$O$13</formula>
      <formula>$O$14</formula>
    </cfRule>
    <cfRule type="cellIs" dxfId="589" priority="2" operator="greaterThan">
      <formula>$O$13</formula>
    </cfRule>
  </conditionalFormatting>
  <conditionalFormatting sqref="Q38:U57">
    <cfRule type="containsText" dxfId="588" priority="20" operator="containsText" text="Y">
      <formula>NOT(ISERROR(SEARCH("Y",Q38)))</formula>
    </cfRule>
    <cfRule type="containsText" dxfId="587" priority="21" operator="containsText" text="N">
      <formula>NOT(ISERROR(SEARCH("N",Q38)))</formula>
    </cfRule>
  </conditionalFormatting>
  <conditionalFormatting sqref="V38:V57">
    <cfRule type="containsText" dxfId="586" priority="19" operator="containsText" text="Fail">
      <formula>NOT(ISERROR(SEARCH("Fail",V38)))</formula>
    </cfRule>
    <cfRule type="containsText" dxfId="585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92"/>
  <sheetViews>
    <sheetView topLeftCell="A30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8386.7589763751748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176191.69403237349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16.637536751602049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18.782985144541701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55805.874229975248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55871.468906145747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8386.7589763751748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176191.69403237349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16.637536751602049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18.782985144541701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55805.874229975248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55871.468906145747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Norcarfentanil Results</v>
      </c>
      <c r="E22" s="95"/>
      <c r="F22" s="95"/>
      <c r="G22" s="95"/>
      <c r="H22" s="96"/>
      <c r="I22" s="20" t="str">
        <f>I60</f>
        <v>Qualifier (291.2 -&gt; 142.1) Method</v>
      </c>
      <c r="J22" s="94" t="str">
        <f>J60</f>
        <v>Qualifier (291.2 -&gt; 142.1) Results</v>
      </c>
      <c r="K22" s="96"/>
      <c r="L22" s="94" t="str">
        <f>L60</f>
        <v>Norfentanyl D5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63" t="s">
        <v>48</v>
      </c>
      <c r="R29" s="64"/>
      <c r="S29" s="64"/>
      <c r="T29" s="64"/>
      <c r="U29" s="64"/>
      <c r="V29" s="64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31.5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55805.874229975248</v>
      </c>
      <c r="N34" s="58"/>
      <c r="O34" s="132"/>
      <c r="P34" s="133"/>
      <c r="Q34" s="45"/>
      <c r="R34" s="45"/>
      <c r="S34" s="45"/>
      <c r="T34" s="45"/>
      <c r="U34" s="45"/>
      <c r="V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Norcarfentanil Results</v>
      </c>
      <c r="E36" s="114"/>
      <c r="F36" s="114"/>
      <c r="G36" s="114"/>
      <c r="H36" s="114"/>
      <c r="I36" s="13" t="str">
        <f>I22</f>
        <v>Qualifier (291.2 -&gt; 142.1) Method</v>
      </c>
      <c r="J36" s="114" t="str">
        <f>J22</f>
        <v>Qualifier (291.2 -&gt; 142.1) Results</v>
      </c>
      <c r="K36" s="114"/>
      <c r="L36" s="114" t="str">
        <f>L22</f>
        <v>Norfentanyl D5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86</v>
      </c>
      <c r="E60" s="16"/>
      <c r="F60" s="16"/>
      <c r="G60" s="16"/>
      <c r="H60" s="16"/>
      <c r="I60" s="16" t="s">
        <v>87</v>
      </c>
      <c r="J60" s="16" t="s">
        <v>88</v>
      </c>
      <c r="K60" s="16"/>
      <c r="L60" s="16" t="s">
        <v>85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O53:P53"/>
    <mergeCell ref="O54:P54"/>
    <mergeCell ref="O55:P55"/>
    <mergeCell ref="O56:P56"/>
    <mergeCell ref="O57:P57"/>
    <mergeCell ref="O48:P48"/>
    <mergeCell ref="O49:P49"/>
    <mergeCell ref="O50:P50"/>
    <mergeCell ref="O51:P51"/>
    <mergeCell ref="O52:P52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D22:H22"/>
    <mergeCell ref="J22:K22"/>
    <mergeCell ref="L22:N22"/>
    <mergeCell ref="O22:P23"/>
    <mergeCell ref="O24:P2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7:P37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</mergeCells>
  <conditionalFormatting sqref="D12">
    <cfRule type="cellIs" dxfId="584" priority="42" operator="greaterThan">
      <formula>$C$12</formula>
    </cfRule>
    <cfRule type="cellIs" dxfId="583" priority="38" operator="lessThan">
      <formula>$C$12</formula>
    </cfRule>
  </conditionalFormatting>
  <conditionalFormatting sqref="D13">
    <cfRule type="cellIs" dxfId="582" priority="41" operator="greaterThan">
      <formula>$C$13</formula>
    </cfRule>
    <cfRule type="cellIs" dxfId="581" priority="37" operator="lessThan">
      <formula>$C$13</formula>
    </cfRule>
  </conditionalFormatting>
  <conditionalFormatting sqref="D14 D20">
    <cfRule type="cellIs" dxfId="580" priority="40" operator="greaterThan">
      <formula>$C$14</formula>
    </cfRule>
    <cfRule type="cellIs" dxfId="579" priority="36" operator="lessThan">
      <formula>$C$14</formula>
    </cfRule>
  </conditionalFormatting>
  <conditionalFormatting sqref="D18">
    <cfRule type="cellIs" dxfId="578" priority="11" operator="lessThan">
      <formula>$C$12</formula>
    </cfRule>
    <cfRule type="cellIs" dxfId="577" priority="14" operator="greaterThan">
      <formula>$C$12</formula>
    </cfRule>
  </conditionalFormatting>
  <conditionalFormatting sqref="D19">
    <cfRule type="cellIs" dxfId="576" priority="13" operator="greaterThan">
      <formula>$C$13</formula>
    </cfRule>
    <cfRule type="cellIs" dxfId="575" priority="10" operator="lessThan">
      <formula>$C$13</formula>
    </cfRule>
  </conditionalFormatting>
  <conditionalFormatting sqref="D38:D57">
    <cfRule type="cellIs" dxfId="574" priority="44" operator="greaterThan">
      <formula>$D$34</formula>
    </cfRule>
    <cfRule type="cellIs" dxfId="573" priority="43" operator="lessThan">
      <formula>$D$33</formula>
    </cfRule>
    <cfRule type="cellIs" dxfId="572" priority="45" operator="between">
      <formula>$D$33</formula>
      <formula>$D$34</formula>
    </cfRule>
  </conditionalFormatting>
  <conditionalFormatting sqref="E38:E57">
    <cfRule type="cellIs" dxfId="571" priority="46" operator="lessThan">
      <formula>$E$34</formula>
    </cfRule>
    <cfRule type="cellIs" dxfId="570" priority="47" operator="greaterThan">
      <formula>$E$34</formula>
    </cfRule>
  </conditionalFormatting>
  <conditionalFormatting sqref="H12">
    <cfRule type="cellIs" dxfId="569" priority="39" operator="between">
      <formula>$G$13</formula>
      <formula>$G$14</formula>
    </cfRule>
    <cfRule type="cellIs" dxfId="568" priority="34" operator="lessThan">
      <formula>$G$14</formula>
    </cfRule>
    <cfRule type="cellIs" dxfId="567" priority="35" operator="greaterThan">
      <formula>$G$13</formula>
    </cfRule>
  </conditionalFormatting>
  <conditionalFormatting sqref="H18">
    <cfRule type="cellIs" dxfId="566" priority="8" operator="lessThan">
      <formula>$G$14</formula>
    </cfRule>
    <cfRule type="cellIs" dxfId="565" priority="9" operator="greaterThan">
      <formula>$G$13</formula>
    </cfRule>
    <cfRule type="cellIs" dxfId="564" priority="12" operator="between">
      <formula>$G$13</formula>
      <formula>$G$14</formula>
    </cfRule>
  </conditionalFormatting>
  <conditionalFormatting sqref="H38:H57">
    <cfRule type="cellIs" dxfId="563" priority="48" operator="lessThan">
      <formula>$H$34</formula>
    </cfRule>
    <cfRule type="cellIs" dxfId="562" priority="49" operator="greaterThan">
      <formula>$H$34</formula>
    </cfRule>
  </conditionalFormatting>
  <conditionalFormatting sqref="I38:I57">
    <cfRule type="cellIs" dxfId="561" priority="50" operator="lessThan">
      <formula>$I$34</formula>
    </cfRule>
    <cfRule type="cellIs" dxfId="560" priority="51" operator="greaterThan">
      <formula>$I$34</formula>
    </cfRule>
  </conditionalFormatting>
  <conditionalFormatting sqref="J38:J57">
    <cfRule type="cellIs" dxfId="559" priority="15" operator="lessThan">
      <formula>$J$34</formula>
    </cfRule>
    <cfRule type="cellIs" dxfId="558" priority="16" operator="greaterThan">
      <formula>$K$34</formula>
    </cfRule>
    <cfRule type="cellIs" dxfId="557" priority="17" operator="between">
      <formula>$J$34</formula>
      <formula>$K$34</formula>
    </cfRule>
  </conditionalFormatting>
  <conditionalFormatting sqref="L12">
    <cfRule type="cellIs" dxfId="556" priority="33" operator="greaterThan">
      <formula>$K$12</formula>
    </cfRule>
    <cfRule type="cellIs" dxfId="555" priority="32" operator="lessThan">
      <formula>$K$12</formula>
    </cfRule>
  </conditionalFormatting>
  <conditionalFormatting sqref="L13">
    <cfRule type="cellIs" dxfId="554" priority="31" operator="greaterThan">
      <formula>$K$13</formula>
    </cfRule>
    <cfRule type="cellIs" dxfId="553" priority="30" operator="lessThan">
      <formula>$K$13</formula>
    </cfRule>
  </conditionalFormatting>
  <conditionalFormatting sqref="L14 L20">
    <cfRule type="cellIs" dxfId="552" priority="28" operator="lessThan">
      <formula>$K$14</formula>
    </cfRule>
    <cfRule type="cellIs" dxfId="551" priority="29" operator="greaterThan">
      <formula>$K$14</formula>
    </cfRule>
  </conditionalFormatting>
  <conditionalFormatting sqref="L18">
    <cfRule type="cellIs" dxfId="550" priority="6" operator="lessThan">
      <formula>$K$12</formula>
    </cfRule>
    <cfRule type="cellIs" dxfId="549" priority="7" operator="greaterThan">
      <formula>$K$12</formula>
    </cfRule>
  </conditionalFormatting>
  <conditionalFormatting sqref="L19">
    <cfRule type="cellIs" dxfId="548" priority="5" operator="greaterThan">
      <formula>$K$13</formula>
    </cfRule>
    <cfRule type="cellIs" dxfId="547" priority="4" operator="lessThan">
      <formula>$K$13</formula>
    </cfRule>
  </conditionalFormatting>
  <conditionalFormatting sqref="M38:M57">
    <cfRule type="cellIs" dxfId="546" priority="52" operator="lessThan">
      <formula>$M$34</formula>
    </cfRule>
    <cfRule type="cellIs" dxfId="545" priority="53" operator="greaterThan">
      <formula>$M$34</formula>
    </cfRule>
  </conditionalFormatting>
  <conditionalFormatting sqref="O38:O57">
    <cfRule type="containsText" dxfId="544" priority="24" operator="containsText" text="Detect">
      <formula>NOT(ISERROR(SEARCH("Detect",O38)))</formula>
    </cfRule>
    <cfRule type="containsText" dxfId="543" priority="54" operator="containsText" text="ND">
      <formula>NOT(ISERROR(SEARCH("ND",O38)))</formula>
    </cfRule>
  </conditionalFormatting>
  <conditionalFormatting sqref="O38:P92">
    <cfRule type="expression" dxfId="542" priority="23">
      <formula>$O38="Detect with IS Supp"</formula>
    </cfRule>
  </conditionalFormatting>
  <conditionalFormatting sqref="P12">
    <cfRule type="cellIs" dxfId="541" priority="27" operator="between">
      <formula>$O$13</formula>
      <formula>$O$14</formula>
    </cfRule>
    <cfRule type="cellIs" dxfId="540" priority="26" operator="greaterThan">
      <formula>$O$13</formula>
    </cfRule>
    <cfRule type="cellIs" dxfId="539" priority="25" operator="lessThan">
      <formula>$O$14</formula>
    </cfRule>
  </conditionalFormatting>
  <conditionalFormatting sqref="P18">
    <cfRule type="cellIs" dxfId="538" priority="1" operator="lessThan">
      <formula>$O$14</formula>
    </cfRule>
    <cfRule type="cellIs" dxfId="537" priority="3" operator="between">
      <formula>$O$13</formula>
      <formula>$O$14</formula>
    </cfRule>
    <cfRule type="cellIs" dxfId="536" priority="2" operator="greaterThan">
      <formula>$O$13</formula>
    </cfRule>
  </conditionalFormatting>
  <conditionalFormatting sqref="Q38:U57">
    <cfRule type="containsText" dxfId="535" priority="20" operator="containsText" text="Y">
      <formula>NOT(ISERROR(SEARCH("Y",Q38)))</formula>
    </cfRule>
    <cfRule type="containsText" dxfId="534" priority="21" operator="containsText" text="N">
      <formula>NOT(ISERROR(SEARCH("N",Q38)))</formula>
    </cfRule>
  </conditionalFormatting>
  <conditionalFormatting sqref="V38:V57">
    <cfRule type="containsText" dxfId="533" priority="19" operator="containsText" text="Fail">
      <formula>NOT(ISERROR(SEARCH("Fail",V38)))</formula>
    </cfRule>
    <cfRule type="containsText" dxfId="532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92"/>
  <sheetViews>
    <sheetView topLeftCell="A37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710937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9449.99690143105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223870.57543676926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3">
        <v>7.6286250777752498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3">
        <v>7.5762180732994748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13851.425381389176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15109.057432388699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9449.99690143105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223870.57543676926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3">
        <v>7.6286250777752498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3">
        <v>7.5762180732994748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13851.425381389176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15109.057432388699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45" x14ac:dyDescent="0.25">
      <c r="A22" s="20" t="s">
        <v>35</v>
      </c>
      <c r="B22" s="19"/>
      <c r="C22" s="19"/>
      <c r="D22" s="94" t="str">
        <f>D60</f>
        <v>Xylazine Results</v>
      </c>
      <c r="E22" s="95"/>
      <c r="F22" s="95"/>
      <c r="G22" s="95"/>
      <c r="H22" s="96"/>
      <c r="I22" s="20" t="str">
        <f>I60</f>
        <v>Qualifier (221.1 -&gt; 72.0) Method</v>
      </c>
      <c r="J22" s="94" t="str">
        <f>J60</f>
        <v>Qualifier (221.1 -&gt; 72.0) Results</v>
      </c>
      <c r="K22" s="96"/>
      <c r="L22" s="94" t="str">
        <f>L60</f>
        <v>Xylazine D6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73" t="s">
        <v>48</v>
      </c>
      <c r="R29" s="74"/>
      <c r="S29" s="74"/>
      <c r="T29" s="74"/>
      <c r="U29" s="74"/>
      <c r="V29" s="75"/>
      <c r="X29" s="5"/>
      <c r="Y29" s="5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15.75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31.5" customHeight="1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74">
        <f>E24</f>
        <v>0</v>
      </c>
      <c r="F34" s="175"/>
      <c r="G34" s="49"/>
      <c r="H34" s="53">
        <f>H24</f>
        <v>0</v>
      </c>
      <c r="I34" s="5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13851.425381389176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45" x14ac:dyDescent="0.25">
      <c r="A36" s="13" t="s">
        <v>35</v>
      </c>
      <c r="B36" s="27"/>
      <c r="C36" s="27"/>
      <c r="D36" s="114" t="str">
        <f>D22</f>
        <v>Xylazine Results</v>
      </c>
      <c r="E36" s="114"/>
      <c r="F36" s="114"/>
      <c r="G36" s="114"/>
      <c r="H36" s="114"/>
      <c r="I36" s="13" t="str">
        <f>I22</f>
        <v>Qualifier (221.1 -&gt; 72.0) Method</v>
      </c>
      <c r="J36" s="114" t="str">
        <f>J22</f>
        <v>Qualifier (221.1 -&gt; 72.0) Results</v>
      </c>
      <c r="K36" s="114"/>
      <c r="L36" s="114" t="str">
        <f>L22</f>
        <v>Xylazine D6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89</v>
      </c>
      <c r="E60" s="16"/>
      <c r="F60" s="16"/>
      <c r="G60" s="16"/>
      <c r="H60" s="16"/>
      <c r="I60" s="16" t="s">
        <v>90</v>
      </c>
      <c r="J60" s="16" t="s">
        <v>91</v>
      </c>
      <c r="K60" s="16"/>
      <c r="L60" s="16" t="s">
        <v>92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O53:P53"/>
    <mergeCell ref="O54:P54"/>
    <mergeCell ref="O55:P55"/>
    <mergeCell ref="O56:P56"/>
    <mergeCell ref="O57:P57"/>
    <mergeCell ref="O48:P48"/>
    <mergeCell ref="O49:P49"/>
    <mergeCell ref="O50:P50"/>
    <mergeCell ref="O51:P51"/>
    <mergeCell ref="O52:P52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D22:H22"/>
    <mergeCell ref="J22:K22"/>
    <mergeCell ref="L22:N22"/>
    <mergeCell ref="O22:P23"/>
    <mergeCell ref="O24:P2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7:P37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</mergeCells>
  <conditionalFormatting sqref="D12">
    <cfRule type="cellIs" dxfId="531" priority="42" operator="greaterThan">
      <formula>$C$12</formula>
    </cfRule>
    <cfRule type="cellIs" dxfId="530" priority="38" operator="lessThan">
      <formula>$C$12</formula>
    </cfRule>
  </conditionalFormatting>
  <conditionalFormatting sqref="D13">
    <cfRule type="cellIs" dxfId="529" priority="41" operator="greaterThan">
      <formula>$C$13</formula>
    </cfRule>
    <cfRule type="cellIs" dxfId="528" priority="37" operator="lessThan">
      <formula>$C$13</formula>
    </cfRule>
  </conditionalFormatting>
  <conditionalFormatting sqref="D14 D20">
    <cfRule type="cellIs" dxfId="527" priority="40" operator="greaterThan">
      <formula>$C$14</formula>
    </cfRule>
    <cfRule type="cellIs" dxfId="526" priority="36" operator="lessThan">
      <formula>$C$14</formula>
    </cfRule>
  </conditionalFormatting>
  <conditionalFormatting sqref="D18">
    <cfRule type="cellIs" dxfId="525" priority="11" operator="lessThan">
      <formula>$C$12</formula>
    </cfRule>
    <cfRule type="cellIs" dxfId="524" priority="14" operator="greaterThan">
      <formula>$C$12</formula>
    </cfRule>
  </conditionalFormatting>
  <conditionalFormatting sqref="D19">
    <cfRule type="cellIs" dxfId="523" priority="13" operator="greaterThan">
      <formula>$C$13</formula>
    </cfRule>
    <cfRule type="cellIs" dxfId="522" priority="10" operator="lessThan">
      <formula>$C$13</formula>
    </cfRule>
  </conditionalFormatting>
  <conditionalFormatting sqref="D38:D57">
    <cfRule type="cellIs" dxfId="521" priority="44" operator="greaterThan">
      <formula>$D$34</formula>
    </cfRule>
    <cfRule type="cellIs" dxfId="520" priority="43" operator="lessThan">
      <formula>$D$33</formula>
    </cfRule>
    <cfRule type="cellIs" dxfId="519" priority="45" operator="between">
      <formula>$D$33</formula>
      <formula>$D$34</formula>
    </cfRule>
  </conditionalFormatting>
  <conditionalFormatting sqref="E38:E57">
    <cfRule type="cellIs" dxfId="518" priority="46" operator="lessThan">
      <formula>$E$34</formula>
    </cfRule>
    <cfRule type="cellIs" dxfId="517" priority="47" operator="greaterThan">
      <formula>$E$34</formula>
    </cfRule>
  </conditionalFormatting>
  <conditionalFormatting sqref="H12">
    <cfRule type="cellIs" dxfId="516" priority="39" operator="between">
      <formula>$G$13</formula>
      <formula>$G$14</formula>
    </cfRule>
    <cfRule type="cellIs" dxfId="515" priority="34" operator="lessThan">
      <formula>$G$14</formula>
    </cfRule>
    <cfRule type="cellIs" dxfId="514" priority="35" operator="greaterThan">
      <formula>$G$13</formula>
    </cfRule>
  </conditionalFormatting>
  <conditionalFormatting sqref="H18">
    <cfRule type="cellIs" dxfId="513" priority="8" operator="lessThan">
      <formula>$G$14</formula>
    </cfRule>
    <cfRule type="cellIs" dxfId="512" priority="9" operator="greaterThan">
      <formula>$G$13</formula>
    </cfRule>
    <cfRule type="cellIs" dxfId="511" priority="12" operator="between">
      <formula>$G$13</formula>
      <formula>$G$14</formula>
    </cfRule>
  </conditionalFormatting>
  <conditionalFormatting sqref="H38:H57">
    <cfRule type="cellIs" dxfId="510" priority="48" operator="lessThan">
      <formula>$H$34</formula>
    </cfRule>
    <cfRule type="cellIs" dxfId="509" priority="49" operator="greaterThan">
      <formula>$H$34</formula>
    </cfRule>
  </conditionalFormatting>
  <conditionalFormatting sqref="I38:I57">
    <cfRule type="cellIs" dxfId="508" priority="50" operator="lessThan">
      <formula>$I$34</formula>
    </cfRule>
    <cfRule type="cellIs" dxfId="507" priority="51" operator="greaterThan">
      <formula>$I$34</formula>
    </cfRule>
  </conditionalFormatting>
  <conditionalFormatting sqref="J38:J57">
    <cfRule type="cellIs" dxfId="506" priority="15" operator="lessThan">
      <formula>$J$34</formula>
    </cfRule>
    <cfRule type="cellIs" dxfId="505" priority="16" operator="greaterThan">
      <formula>$K$34</formula>
    </cfRule>
    <cfRule type="cellIs" dxfId="504" priority="17" operator="between">
      <formula>$J$34</formula>
      <formula>$K$34</formula>
    </cfRule>
  </conditionalFormatting>
  <conditionalFormatting sqref="L12">
    <cfRule type="cellIs" dxfId="503" priority="33" operator="greaterThan">
      <formula>$K$12</formula>
    </cfRule>
    <cfRule type="cellIs" dxfId="502" priority="32" operator="lessThan">
      <formula>$K$12</formula>
    </cfRule>
  </conditionalFormatting>
  <conditionalFormatting sqref="L13">
    <cfRule type="cellIs" dxfId="501" priority="31" operator="greaterThan">
      <formula>$K$13</formula>
    </cfRule>
    <cfRule type="cellIs" dxfId="500" priority="30" operator="lessThan">
      <formula>$K$13</formula>
    </cfRule>
  </conditionalFormatting>
  <conditionalFormatting sqref="L14 L20">
    <cfRule type="cellIs" dxfId="499" priority="28" operator="lessThan">
      <formula>$K$14</formula>
    </cfRule>
    <cfRule type="cellIs" dxfId="498" priority="29" operator="greaterThan">
      <formula>$K$14</formula>
    </cfRule>
  </conditionalFormatting>
  <conditionalFormatting sqref="L18">
    <cfRule type="cellIs" dxfId="497" priority="6" operator="lessThan">
      <formula>$K$12</formula>
    </cfRule>
    <cfRule type="cellIs" dxfId="496" priority="7" operator="greaterThan">
      <formula>$K$12</formula>
    </cfRule>
  </conditionalFormatting>
  <conditionalFormatting sqref="L19">
    <cfRule type="cellIs" dxfId="495" priority="5" operator="greaterThan">
      <formula>$K$13</formula>
    </cfRule>
    <cfRule type="cellIs" dxfId="494" priority="4" operator="lessThan">
      <formula>$K$13</formula>
    </cfRule>
  </conditionalFormatting>
  <conditionalFormatting sqref="M38:M57">
    <cfRule type="cellIs" dxfId="493" priority="52" operator="lessThan">
      <formula>$M$34</formula>
    </cfRule>
    <cfRule type="cellIs" dxfId="492" priority="53" operator="greaterThan">
      <formula>$M$34</formula>
    </cfRule>
  </conditionalFormatting>
  <conditionalFormatting sqref="O38:O57">
    <cfRule type="containsText" dxfId="491" priority="24" operator="containsText" text="Detect">
      <formula>NOT(ISERROR(SEARCH("Detect",O38)))</formula>
    </cfRule>
    <cfRule type="containsText" dxfId="490" priority="54" operator="containsText" text="ND">
      <formula>NOT(ISERROR(SEARCH("ND",O38)))</formula>
    </cfRule>
  </conditionalFormatting>
  <conditionalFormatting sqref="O38:P92">
    <cfRule type="expression" dxfId="489" priority="23">
      <formula>$O38="Detect with IS Supp"</formula>
    </cfRule>
  </conditionalFormatting>
  <conditionalFormatting sqref="P12">
    <cfRule type="cellIs" dxfId="488" priority="27" operator="between">
      <formula>$O$13</formula>
      <formula>$O$14</formula>
    </cfRule>
    <cfRule type="cellIs" dxfId="487" priority="26" operator="greaterThan">
      <formula>$O$13</formula>
    </cfRule>
    <cfRule type="cellIs" dxfId="486" priority="25" operator="lessThan">
      <formula>$O$14</formula>
    </cfRule>
  </conditionalFormatting>
  <conditionalFormatting sqref="P18">
    <cfRule type="cellIs" dxfId="485" priority="1" operator="lessThan">
      <formula>$O$14</formula>
    </cfRule>
    <cfRule type="cellIs" dxfId="484" priority="3" operator="between">
      <formula>$O$13</formula>
      <formula>$O$14</formula>
    </cfRule>
    <cfRule type="cellIs" dxfId="483" priority="2" operator="greaterThan">
      <formula>$O$13</formula>
    </cfRule>
  </conditionalFormatting>
  <conditionalFormatting sqref="Q38:U57">
    <cfRule type="containsText" dxfId="482" priority="20" operator="containsText" text="Y">
      <formula>NOT(ISERROR(SEARCH("Y",Q38)))</formula>
    </cfRule>
    <cfRule type="containsText" dxfId="481" priority="21" operator="containsText" text="N">
      <formula>NOT(ISERROR(SEARCH("N",Q38)))</formula>
    </cfRule>
  </conditionalFormatting>
  <conditionalFormatting sqref="V38:V57">
    <cfRule type="containsText" dxfId="480" priority="19" operator="containsText" text="Fail">
      <formula>NOT(ISERROR(SEARCH("Fail",V38)))</formula>
    </cfRule>
    <cfRule type="containsText" dxfId="479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92"/>
  <sheetViews>
    <sheetView topLeftCell="A31" workbookViewId="0">
      <selection activeCell="O38" sqref="O38:P57"/>
    </sheetView>
  </sheetViews>
  <sheetFormatPr defaultRowHeight="15" x14ac:dyDescent="0.25"/>
  <cols>
    <col min="1" max="1" width="17.42578125" customWidth="1"/>
    <col min="2" max="2" width="18.14062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2851562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8">
        <v>410.03382228038748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12568.560238463775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17.025967602863251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19.203994754178474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864.104974021575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1056.0127700908499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8">
        <v>410.03382228038748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12568.560238463775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17.025967602863251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19.203994754178474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864.104974021575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1056.0127700908499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Heroin Results</v>
      </c>
      <c r="E22" s="95"/>
      <c r="F22" s="95"/>
      <c r="G22" s="95"/>
      <c r="H22" s="96"/>
      <c r="I22" s="20" t="str">
        <f>I60</f>
        <v>Qualifier (370.2 -&gt; 211.0) Method</v>
      </c>
      <c r="J22" s="94" t="str">
        <f>J60</f>
        <v>Qualifier (370.2 -&gt; 211.0) Results</v>
      </c>
      <c r="K22" s="96"/>
      <c r="L22" s="94" t="str">
        <f>L60</f>
        <v>Heroin D3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63" t="s">
        <v>48</v>
      </c>
      <c r="R29" s="64"/>
      <c r="S29" s="64"/>
      <c r="T29" s="64"/>
      <c r="U29" s="64"/>
      <c r="V29" s="64"/>
      <c r="X29" s="5"/>
      <c r="Y29" s="5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34.5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24" customHeight="1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76">
        <f>E24</f>
        <v>0</v>
      </c>
      <c r="F34" s="177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8">
        <f>C14</f>
        <v>864.104974021575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Heroin Results</v>
      </c>
      <c r="E36" s="114"/>
      <c r="F36" s="114"/>
      <c r="G36" s="114"/>
      <c r="H36" s="114"/>
      <c r="I36" s="13" t="str">
        <f>I22</f>
        <v>Qualifier (370.2 -&gt; 211.0) Method</v>
      </c>
      <c r="J36" s="114" t="str">
        <f>J22</f>
        <v>Qualifier (370.2 -&gt; 211.0) Results</v>
      </c>
      <c r="K36" s="114"/>
      <c r="L36" s="114" t="str">
        <f>L22</f>
        <v>Heroin D3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93</v>
      </c>
      <c r="E60" s="16"/>
      <c r="F60" s="16"/>
      <c r="G60" s="16"/>
      <c r="H60" s="16"/>
      <c r="I60" s="16" t="s">
        <v>94</v>
      </c>
      <c r="J60" s="16" t="s">
        <v>95</v>
      </c>
      <c r="K60" s="16"/>
      <c r="L60" s="16" t="s">
        <v>96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D22:H22"/>
    <mergeCell ref="J22:K22"/>
    <mergeCell ref="L22:N22"/>
    <mergeCell ref="O22:P23"/>
    <mergeCell ref="O24:P2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7:P37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478" priority="42" operator="greaterThan">
      <formula>$C$12</formula>
    </cfRule>
    <cfRule type="cellIs" dxfId="477" priority="38" operator="lessThan">
      <formula>$C$12</formula>
    </cfRule>
  </conditionalFormatting>
  <conditionalFormatting sqref="D13">
    <cfRule type="cellIs" dxfId="476" priority="41" operator="greaterThan">
      <formula>$C$13</formula>
    </cfRule>
    <cfRule type="cellIs" dxfId="475" priority="37" operator="lessThan">
      <formula>$C$13</formula>
    </cfRule>
  </conditionalFormatting>
  <conditionalFormatting sqref="D14 D20">
    <cfRule type="cellIs" dxfId="474" priority="40" operator="greaterThan">
      <formula>$C$14</formula>
    </cfRule>
    <cfRule type="cellIs" dxfId="473" priority="36" operator="lessThan">
      <formula>$C$14</formula>
    </cfRule>
  </conditionalFormatting>
  <conditionalFormatting sqref="D18">
    <cfRule type="cellIs" dxfId="472" priority="11" operator="lessThan">
      <formula>$C$12</formula>
    </cfRule>
    <cfRule type="cellIs" dxfId="471" priority="14" operator="greaterThan">
      <formula>$C$12</formula>
    </cfRule>
  </conditionalFormatting>
  <conditionalFormatting sqref="D19">
    <cfRule type="cellIs" dxfId="470" priority="13" operator="greaterThan">
      <formula>$C$13</formula>
    </cfRule>
    <cfRule type="cellIs" dxfId="469" priority="10" operator="lessThan">
      <formula>$C$13</formula>
    </cfRule>
  </conditionalFormatting>
  <conditionalFormatting sqref="D38:D57">
    <cfRule type="cellIs" dxfId="468" priority="44" operator="greaterThan">
      <formula>$D$34</formula>
    </cfRule>
    <cfRule type="cellIs" dxfId="467" priority="43" operator="lessThan">
      <formula>$D$33</formula>
    </cfRule>
    <cfRule type="cellIs" dxfId="466" priority="45" operator="between">
      <formula>$D$33</formula>
      <formula>$D$34</formula>
    </cfRule>
  </conditionalFormatting>
  <conditionalFormatting sqref="E38:E57">
    <cfRule type="cellIs" dxfId="465" priority="46" operator="lessThan">
      <formula>$E$34</formula>
    </cfRule>
    <cfRule type="cellIs" dxfId="464" priority="47" operator="greaterThan">
      <formula>$E$34</formula>
    </cfRule>
  </conditionalFormatting>
  <conditionalFormatting sqref="H12">
    <cfRule type="cellIs" dxfId="463" priority="39" operator="between">
      <formula>$G$13</formula>
      <formula>$G$14</formula>
    </cfRule>
    <cfRule type="cellIs" dxfId="462" priority="34" operator="lessThan">
      <formula>$G$14</formula>
    </cfRule>
    <cfRule type="cellIs" dxfId="461" priority="35" operator="greaterThan">
      <formula>$G$13</formula>
    </cfRule>
  </conditionalFormatting>
  <conditionalFormatting sqref="H18">
    <cfRule type="cellIs" dxfId="460" priority="8" operator="lessThan">
      <formula>$G$14</formula>
    </cfRule>
    <cfRule type="cellIs" dxfId="459" priority="9" operator="greaterThan">
      <formula>$G$13</formula>
    </cfRule>
    <cfRule type="cellIs" dxfId="458" priority="12" operator="between">
      <formula>$G$13</formula>
      <formula>$G$14</formula>
    </cfRule>
  </conditionalFormatting>
  <conditionalFormatting sqref="H38:H57">
    <cfRule type="cellIs" dxfId="457" priority="48" operator="lessThan">
      <formula>$H$34</formula>
    </cfRule>
    <cfRule type="cellIs" dxfId="456" priority="49" operator="greaterThan">
      <formula>$H$34</formula>
    </cfRule>
  </conditionalFormatting>
  <conditionalFormatting sqref="I38:I57">
    <cfRule type="cellIs" dxfId="455" priority="50" operator="lessThan">
      <formula>$I$34</formula>
    </cfRule>
    <cfRule type="cellIs" dxfId="454" priority="51" operator="greaterThan">
      <formula>$I$34</formula>
    </cfRule>
  </conditionalFormatting>
  <conditionalFormatting sqref="J38:J57">
    <cfRule type="cellIs" dxfId="453" priority="15" operator="lessThan">
      <formula>$J$34</formula>
    </cfRule>
    <cfRule type="cellIs" dxfId="452" priority="16" operator="greaterThan">
      <formula>$K$34</formula>
    </cfRule>
    <cfRule type="cellIs" dxfId="451" priority="17" operator="between">
      <formula>$J$34</formula>
      <formula>$K$34</formula>
    </cfRule>
  </conditionalFormatting>
  <conditionalFormatting sqref="L12">
    <cfRule type="cellIs" dxfId="450" priority="33" operator="greaterThan">
      <formula>$K$12</formula>
    </cfRule>
    <cfRule type="cellIs" dxfId="449" priority="32" operator="lessThan">
      <formula>$K$12</formula>
    </cfRule>
  </conditionalFormatting>
  <conditionalFormatting sqref="L13">
    <cfRule type="cellIs" dxfId="448" priority="31" operator="greaterThan">
      <formula>$K$13</formula>
    </cfRule>
    <cfRule type="cellIs" dxfId="447" priority="30" operator="lessThan">
      <formula>$K$13</formula>
    </cfRule>
  </conditionalFormatting>
  <conditionalFormatting sqref="L14 L20">
    <cfRule type="cellIs" dxfId="446" priority="28" operator="lessThan">
      <formula>$K$14</formula>
    </cfRule>
    <cfRule type="cellIs" dxfId="445" priority="29" operator="greaterThan">
      <formula>$K$14</formula>
    </cfRule>
  </conditionalFormatting>
  <conditionalFormatting sqref="L18">
    <cfRule type="cellIs" dxfId="444" priority="6" operator="lessThan">
      <formula>$K$12</formula>
    </cfRule>
    <cfRule type="cellIs" dxfId="443" priority="7" operator="greaterThan">
      <formula>$K$12</formula>
    </cfRule>
  </conditionalFormatting>
  <conditionalFormatting sqref="L19">
    <cfRule type="cellIs" dxfId="442" priority="5" operator="greaterThan">
      <formula>$K$13</formula>
    </cfRule>
    <cfRule type="cellIs" dxfId="441" priority="4" operator="lessThan">
      <formula>$K$13</formula>
    </cfRule>
  </conditionalFormatting>
  <conditionalFormatting sqref="M38:M57">
    <cfRule type="cellIs" dxfId="440" priority="52" operator="lessThan">
      <formula>$M$34</formula>
    </cfRule>
    <cfRule type="cellIs" dxfId="439" priority="53" operator="greaterThan">
      <formula>$M$34</formula>
    </cfRule>
  </conditionalFormatting>
  <conditionalFormatting sqref="O38:O57">
    <cfRule type="containsText" dxfId="438" priority="24" operator="containsText" text="Detect">
      <formula>NOT(ISERROR(SEARCH("Detect",O38)))</formula>
    </cfRule>
    <cfRule type="containsText" dxfId="437" priority="54" operator="containsText" text="ND">
      <formula>NOT(ISERROR(SEARCH("ND",O38)))</formula>
    </cfRule>
  </conditionalFormatting>
  <conditionalFormatting sqref="O38:P92">
    <cfRule type="expression" dxfId="436" priority="23">
      <formula>$O38="Detect with IS Supp"</formula>
    </cfRule>
  </conditionalFormatting>
  <conditionalFormatting sqref="P12">
    <cfRule type="cellIs" dxfId="435" priority="27" operator="between">
      <formula>$O$13</formula>
      <formula>$O$14</formula>
    </cfRule>
    <cfRule type="cellIs" dxfId="434" priority="26" operator="greaterThan">
      <formula>$O$13</formula>
    </cfRule>
    <cfRule type="cellIs" dxfId="433" priority="25" operator="lessThan">
      <formula>$O$14</formula>
    </cfRule>
  </conditionalFormatting>
  <conditionalFormatting sqref="P18">
    <cfRule type="cellIs" dxfId="432" priority="1" operator="lessThan">
      <formula>$O$14</formula>
    </cfRule>
    <cfRule type="cellIs" dxfId="431" priority="3" operator="between">
      <formula>$O$13</formula>
      <formula>$O$14</formula>
    </cfRule>
    <cfRule type="cellIs" dxfId="430" priority="2" operator="greaterThan">
      <formula>$O$13</formula>
    </cfRule>
  </conditionalFormatting>
  <conditionalFormatting sqref="Q38:U57">
    <cfRule type="containsText" dxfId="429" priority="20" operator="containsText" text="Y">
      <formula>NOT(ISERROR(SEARCH("Y",Q38)))</formula>
    </cfRule>
    <cfRule type="containsText" dxfId="428" priority="21" operator="containsText" text="N">
      <formula>NOT(ISERROR(SEARCH("N",Q38)))</formula>
    </cfRule>
  </conditionalFormatting>
  <conditionalFormatting sqref="V38:V57">
    <cfRule type="containsText" dxfId="427" priority="19" operator="containsText" text="Fail">
      <formula>NOT(ISERROR(SEARCH("Fail",V38)))</formula>
    </cfRule>
    <cfRule type="containsText" dxfId="426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P92"/>
  <sheetViews>
    <sheetView topLeftCell="A29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9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26839.474984010249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499563.41052378499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3">
        <v>7.0129151237893996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3">
        <v>7.0896335713406504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146165.02583432701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142819.23894752251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26839.474984010249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499563.41052378499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3">
        <v>7.0129151237893996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3">
        <v>7.0896335713406504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146165.02583432701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142819.23894752251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45" x14ac:dyDescent="0.25">
      <c r="A22" s="20" t="s">
        <v>35</v>
      </c>
      <c r="B22" s="19"/>
      <c r="C22" s="19"/>
      <c r="D22" s="94" t="str">
        <f>D60</f>
        <v>Cocaine Results</v>
      </c>
      <c r="E22" s="95"/>
      <c r="F22" s="95"/>
      <c r="G22" s="95"/>
      <c r="H22" s="96"/>
      <c r="I22" s="20" t="str">
        <f>I60</f>
        <v>Qualifier (304.2 -&gt; 82.1) Method</v>
      </c>
      <c r="J22" s="94" t="str">
        <f>J60</f>
        <v>Qualifier (304.2 -&gt; 82.1) Results</v>
      </c>
      <c r="K22" s="96"/>
      <c r="L22" s="94" t="str">
        <f>L60</f>
        <v>Cocaine D3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63" t="s">
        <v>48</v>
      </c>
      <c r="R29" s="64"/>
      <c r="S29" s="64"/>
      <c r="T29" s="64"/>
      <c r="U29" s="64"/>
      <c r="V29" s="64"/>
      <c r="X29" s="5"/>
      <c r="Y29" s="5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27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69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146165.02583432701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45" x14ac:dyDescent="0.25">
      <c r="A36" s="13" t="s">
        <v>35</v>
      </c>
      <c r="B36" s="27"/>
      <c r="C36" s="27"/>
      <c r="D36" s="114" t="str">
        <f>D22</f>
        <v>Cocaine Results</v>
      </c>
      <c r="E36" s="114"/>
      <c r="F36" s="114"/>
      <c r="G36" s="114"/>
      <c r="H36" s="114"/>
      <c r="I36" s="13" t="str">
        <f>I22</f>
        <v>Qualifier (304.2 -&gt; 82.1) Method</v>
      </c>
      <c r="J36" s="114" t="str">
        <f>J22</f>
        <v>Qualifier (304.2 -&gt; 82.1) Results</v>
      </c>
      <c r="K36" s="114"/>
      <c r="L36" s="114" t="str">
        <f>L22</f>
        <v>Cocaine D3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97</v>
      </c>
      <c r="E60" s="16"/>
      <c r="F60" s="16"/>
      <c r="G60" s="16"/>
      <c r="H60" s="16"/>
      <c r="I60" s="16" t="s">
        <v>98</v>
      </c>
      <c r="J60" s="16" t="s">
        <v>99</v>
      </c>
      <c r="K60" s="16"/>
      <c r="L60" s="16" t="s">
        <v>100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D22:H22"/>
    <mergeCell ref="J22:K22"/>
    <mergeCell ref="L22:N22"/>
    <mergeCell ref="O22:P23"/>
    <mergeCell ref="O24:P2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7:P37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425" priority="42" operator="greaterThan">
      <formula>$C$12</formula>
    </cfRule>
    <cfRule type="cellIs" dxfId="424" priority="38" operator="lessThan">
      <formula>$C$12</formula>
    </cfRule>
  </conditionalFormatting>
  <conditionalFormatting sqref="D13">
    <cfRule type="cellIs" dxfId="423" priority="41" operator="greaterThan">
      <formula>$C$13</formula>
    </cfRule>
    <cfRule type="cellIs" dxfId="422" priority="37" operator="lessThan">
      <formula>$C$13</formula>
    </cfRule>
  </conditionalFormatting>
  <conditionalFormatting sqref="D14 D20">
    <cfRule type="cellIs" dxfId="421" priority="40" operator="greaterThan">
      <formula>$C$14</formula>
    </cfRule>
    <cfRule type="cellIs" dxfId="420" priority="36" operator="lessThan">
      <formula>$C$14</formula>
    </cfRule>
  </conditionalFormatting>
  <conditionalFormatting sqref="D18">
    <cfRule type="cellIs" dxfId="419" priority="11" operator="lessThan">
      <formula>$C$12</formula>
    </cfRule>
    <cfRule type="cellIs" dxfId="418" priority="14" operator="greaterThan">
      <formula>$C$12</formula>
    </cfRule>
  </conditionalFormatting>
  <conditionalFormatting sqref="D19">
    <cfRule type="cellIs" dxfId="417" priority="13" operator="greaterThan">
      <formula>$C$13</formula>
    </cfRule>
    <cfRule type="cellIs" dxfId="416" priority="10" operator="lessThan">
      <formula>$C$13</formula>
    </cfRule>
  </conditionalFormatting>
  <conditionalFormatting sqref="D38:D57">
    <cfRule type="cellIs" dxfId="415" priority="44" operator="greaterThan">
      <formula>$D$34</formula>
    </cfRule>
    <cfRule type="cellIs" dxfId="414" priority="43" operator="lessThan">
      <formula>$D$33</formula>
    </cfRule>
    <cfRule type="cellIs" dxfId="413" priority="45" operator="between">
      <formula>$D$33</formula>
      <formula>$D$34</formula>
    </cfRule>
  </conditionalFormatting>
  <conditionalFormatting sqref="E38:E57">
    <cfRule type="cellIs" dxfId="412" priority="46" operator="lessThan">
      <formula>$E$34</formula>
    </cfRule>
    <cfRule type="cellIs" dxfId="411" priority="47" operator="greaterThan">
      <formula>$E$34</formula>
    </cfRule>
  </conditionalFormatting>
  <conditionalFormatting sqref="H12">
    <cfRule type="cellIs" dxfId="410" priority="39" operator="between">
      <formula>$G$13</formula>
      <formula>$G$14</formula>
    </cfRule>
    <cfRule type="cellIs" dxfId="409" priority="34" operator="lessThan">
      <formula>$G$14</formula>
    </cfRule>
    <cfRule type="cellIs" dxfId="408" priority="35" operator="greaterThan">
      <formula>$G$13</formula>
    </cfRule>
  </conditionalFormatting>
  <conditionalFormatting sqref="H18">
    <cfRule type="cellIs" dxfId="407" priority="8" operator="lessThan">
      <formula>$G$14</formula>
    </cfRule>
    <cfRule type="cellIs" dxfId="406" priority="9" operator="greaterThan">
      <formula>$G$13</formula>
    </cfRule>
    <cfRule type="cellIs" dxfId="405" priority="12" operator="between">
      <formula>$G$13</formula>
      <formula>$G$14</formula>
    </cfRule>
  </conditionalFormatting>
  <conditionalFormatting sqref="H38:H57">
    <cfRule type="cellIs" dxfId="404" priority="48" operator="lessThan">
      <formula>$H$34</formula>
    </cfRule>
    <cfRule type="cellIs" dxfId="403" priority="49" operator="greaterThan">
      <formula>$H$34</formula>
    </cfRule>
  </conditionalFormatting>
  <conditionalFormatting sqref="I38:I57">
    <cfRule type="cellIs" dxfId="402" priority="50" operator="lessThan">
      <formula>$I$34</formula>
    </cfRule>
    <cfRule type="cellIs" dxfId="401" priority="51" operator="greaterThan">
      <formula>$I$34</formula>
    </cfRule>
  </conditionalFormatting>
  <conditionalFormatting sqref="J38:J57">
    <cfRule type="cellIs" dxfId="400" priority="15" operator="lessThan">
      <formula>$J$34</formula>
    </cfRule>
    <cfRule type="cellIs" dxfId="399" priority="16" operator="greaterThan">
      <formula>$K$34</formula>
    </cfRule>
    <cfRule type="cellIs" dxfId="398" priority="17" operator="between">
      <formula>$J$34</formula>
      <formula>$K$34</formula>
    </cfRule>
  </conditionalFormatting>
  <conditionalFormatting sqref="L12">
    <cfRule type="cellIs" dxfId="397" priority="33" operator="greaterThan">
      <formula>$K$12</formula>
    </cfRule>
    <cfRule type="cellIs" dxfId="396" priority="32" operator="lessThan">
      <formula>$K$12</formula>
    </cfRule>
  </conditionalFormatting>
  <conditionalFormatting sqref="L13">
    <cfRule type="cellIs" dxfId="395" priority="31" operator="greaterThan">
      <formula>$K$13</formula>
    </cfRule>
    <cfRule type="cellIs" dxfId="394" priority="30" operator="lessThan">
      <formula>$K$13</formula>
    </cfRule>
  </conditionalFormatting>
  <conditionalFormatting sqref="L14 L20">
    <cfRule type="cellIs" dxfId="393" priority="28" operator="lessThan">
      <formula>$K$14</formula>
    </cfRule>
    <cfRule type="cellIs" dxfId="392" priority="29" operator="greaterThan">
      <formula>$K$14</formula>
    </cfRule>
  </conditionalFormatting>
  <conditionalFormatting sqref="L18">
    <cfRule type="cellIs" dxfId="391" priority="6" operator="lessThan">
      <formula>$K$12</formula>
    </cfRule>
    <cfRule type="cellIs" dxfId="390" priority="7" operator="greaterThan">
      <formula>$K$12</formula>
    </cfRule>
  </conditionalFormatting>
  <conditionalFormatting sqref="L19">
    <cfRule type="cellIs" dxfId="389" priority="5" operator="greaterThan">
      <formula>$K$13</formula>
    </cfRule>
    <cfRule type="cellIs" dxfId="388" priority="4" operator="lessThan">
      <formula>$K$13</formula>
    </cfRule>
  </conditionalFormatting>
  <conditionalFormatting sqref="M38:M57">
    <cfRule type="cellIs" dxfId="387" priority="52" operator="lessThan">
      <formula>$M$34</formula>
    </cfRule>
    <cfRule type="cellIs" dxfId="386" priority="53" operator="greaterThan">
      <formula>$M$34</formula>
    </cfRule>
  </conditionalFormatting>
  <conditionalFormatting sqref="O38:O57">
    <cfRule type="containsText" dxfId="385" priority="24" operator="containsText" text="Detect">
      <formula>NOT(ISERROR(SEARCH("Detect",O38)))</formula>
    </cfRule>
    <cfRule type="containsText" dxfId="384" priority="54" operator="containsText" text="ND">
      <formula>NOT(ISERROR(SEARCH("ND",O38)))</formula>
    </cfRule>
  </conditionalFormatting>
  <conditionalFormatting sqref="O38:P92">
    <cfRule type="expression" dxfId="383" priority="23">
      <formula>$O38="Detect with IS Supp"</formula>
    </cfRule>
  </conditionalFormatting>
  <conditionalFormatting sqref="P12">
    <cfRule type="cellIs" dxfId="382" priority="27" operator="between">
      <formula>$O$13</formula>
      <formula>$O$14</formula>
    </cfRule>
    <cfRule type="cellIs" dxfId="381" priority="26" operator="greaterThan">
      <formula>$O$13</formula>
    </cfRule>
    <cfRule type="cellIs" dxfId="380" priority="25" operator="lessThan">
      <formula>$O$14</formula>
    </cfRule>
  </conditionalFormatting>
  <conditionalFormatting sqref="P18">
    <cfRule type="cellIs" dxfId="379" priority="1" operator="lessThan">
      <formula>$O$14</formula>
    </cfRule>
    <cfRule type="cellIs" dxfId="378" priority="3" operator="between">
      <formula>$O$13</formula>
      <formula>$O$14</formula>
    </cfRule>
    <cfRule type="cellIs" dxfId="377" priority="2" operator="greaterThan">
      <formula>$O$13</formula>
    </cfRule>
  </conditionalFormatting>
  <conditionalFormatting sqref="Q38:U57">
    <cfRule type="containsText" dxfId="376" priority="20" operator="containsText" text="Y">
      <formula>NOT(ISERROR(SEARCH("Y",Q38)))</formula>
    </cfRule>
    <cfRule type="containsText" dxfId="375" priority="21" operator="containsText" text="N">
      <formula>NOT(ISERROR(SEARCH("N",Q38)))</formula>
    </cfRule>
  </conditionalFormatting>
  <conditionalFormatting sqref="V38:V57">
    <cfRule type="containsText" dxfId="374" priority="19" operator="containsText" text="Fail">
      <formula>NOT(ISERROR(SEARCH("Fail",V38)))</formula>
    </cfRule>
    <cfRule type="containsText" dxfId="373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92"/>
  <sheetViews>
    <sheetView topLeftCell="A31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710937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10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72"/>
      <c r="B9" s="158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178" t="s">
        <v>26</v>
      </c>
      <c r="C11" s="179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27290.242460112251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605442.69524190249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23.447763603938075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23.479056273497925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5964.5752734839252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6060.8877966195496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72"/>
      <c r="B15" s="158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178" t="s">
        <v>26</v>
      </c>
      <c r="C17" s="179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27290.242460112251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605442.69524190249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23.447763603938075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23.479056273497925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5964.5752734839252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6060.8877966195496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Acetyl Fetanyl Results</v>
      </c>
      <c r="E22" s="95"/>
      <c r="F22" s="95"/>
      <c r="G22" s="95"/>
      <c r="H22" s="96"/>
      <c r="I22" s="20" t="str">
        <f>I60</f>
        <v>Qualifier (323.2 -&gt; 188.1) Method</v>
      </c>
      <c r="J22" s="94" t="str">
        <f>J60</f>
        <v>Qualifier (323.2 -&gt; 188.1) Results</v>
      </c>
      <c r="K22" s="96"/>
      <c r="L22" s="94" t="str">
        <f>L60</f>
        <v>Acetylfentanyl-13C6 (ISTD) Results</v>
      </c>
      <c r="M22" s="95"/>
      <c r="N22" s="96"/>
      <c r="O22" s="97"/>
      <c r="P22" s="98"/>
      <c r="AA22" s="5"/>
      <c r="AB22" s="5"/>
      <c r="AC22" s="5"/>
    </row>
    <row r="23" spans="1:39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6.5" customHeight="1" x14ac:dyDescent="0.25">
      <c r="A29" s="159" t="s">
        <v>47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1"/>
      <c r="Q29" s="89" t="s">
        <v>48</v>
      </c>
      <c r="R29" s="90"/>
      <c r="S29" s="90"/>
      <c r="T29" s="90"/>
      <c r="U29" s="90"/>
      <c r="V29" s="91"/>
      <c r="X29" s="5"/>
      <c r="Y29" s="5"/>
      <c r="Z29" s="5"/>
      <c r="AA29" s="5"/>
      <c r="AB29" s="5"/>
    </row>
    <row r="30" spans="1:39" ht="47.25" customHeight="1" x14ac:dyDescent="0.25">
      <c r="A30" s="162" t="s">
        <v>49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30" x14ac:dyDescent="0.25">
      <c r="A31" s="65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31.5" customHeight="1" x14ac:dyDescent="0.25">
      <c r="A32" s="66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66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67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5964.5752734839252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Acetyl Fetanyl Results</v>
      </c>
      <c r="E36" s="114"/>
      <c r="F36" s="114"/>
      <c r="G36" s="114"/>
      <c r="H36" s="114"/>
      <c r="I36" s="13" t="str">
        <f>I22</f>
        <v>Qualifier (323.2 -&gt; 188.1) Method</v>
      </c>
      <c r="J36" s="114" t="str">
        <f>J22</f>
        <v>Qualifier (323.2 -&gt; 188.1) Results</v>
      </c>
      <c r="K36" s="114"/>
      <c r="L36" s="114" t="str">
        <f>L22</f>
        <v>Acetylfentanyl-13C6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101</v>
      </c>
      <c r="E60" s="16"/>
      <c r="F60" s="16"/>
      <c r="G60" s="16"/>
      <c r="H60" s="16"/>
      <c r="I60" s="16" t="s">
        <v>102</v>
      </c>
      <c r="J60" s="16" t="s">
        <v>103</v>
      </c>
      <c r="K60" s="16"/>
      <c r="L60" s="16" t="s">
        <v>104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A59:P59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L22:N22"/>
    <mergeCell ref="O22:P23"/>
    <mergeCell ref="O24:P27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B9:P9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E34:F34"/>
    <mergeCell ref="D36:H36"/>
    <mergeCell ref="J36:K36"/>
    <mergeCell ref="L36:N36"/>
    <mergeCell ref="O44:P44"/>
    <mergeCell ref="O45:P45"/>
    <mergeCell ref="O46:P46"/>
    <mergeCell ref="O47:P47"/>
    <mergeCell ref="O37:P37"/>
    <mergeCell ref="O39:P39"/>
    <mergeCell ref="O40:P40"/>
    <mergeCell ref="O41:P41"/>
    <mergeCell ref="O42:P42"/>
    <mergeCell ref="O43:P43"/>
    <mergeCell ref="O38:P38"/>
    <mergeCell ref="A30:P30"/>
    <mergeCell ref="A16:A20"/>
    <mergeCell ref="A29:P29"/>
    <mergeCell ref="Q29:V29"/>
    <mergeCell ref="B15:P15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D22:H22"/>
    <mergeCell ref="J22:K2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372" priority="42" operator="greaterThan">
      <formula>$C$12</formula>
    </cfRule>
    <cfRule type="cellIs" dxfId="371" priority="38" operator="lessThan">
      <formula>$C$12</formula>
    </cfRule>
  </conditionalFormatting>
  <conditionalFormatting sqref="D13">
    <cfRule type="cellIs" dxfId="370" priority="41" operator="greaterThan">
      <formula>$C$13</formula>
    </cfRule>
    <cfRule type="cellIs" dxfId="369" priority="37" operator="lessThan">
      <formula>$C$13</formula>
    </cfRule>
  </conditionalFormatting>
  <conditionalFormatting sqref="D14 D20">
    <cfRule type="cellIs" dxfId="368" priority="40" operator="greaterThan">
      <formula>$C$14</formula>
    </cfRule>
    <cfRule type="cellIs" dxfId="367" priority="36" operator="lessThan">
      <formula>$C$14</formula>
    </cfRule>
  </conditionalFormatting>
  <conditionalFormatting sqref="D18">
    <cfRule type="cellIs" dxfId="366" priority="11" operator="lessThan">
      <formula>$C$12</formula>
    </cfRule>
    <cfRule type="cellIs" dxfId="365" priority="14" operator="greaterThan">
      <formula>$C$12</formula>
    </cfRule>
  </conditionalFormatting>
  <conditionalFormatting sqref="D19">
    <cfRule type="cellIs" dxfId="364" priority="13" operator="greaterThan">
      <formula>$C$13</formula>
    </cfRule>
    <cfRule type="cellIs" dxfId="363" priority="10" operator="lessThan">
      <formula>$C$13</formula>
    </cfRule>
  </conditionalFormatting>
  <conditionalFormatting sqref="D38:D57">
    <cfRule type="cellIs" dxfId="362" priority="44" operator="greaterThan">
      <formula>$D$34</formula>
    </cfRule>
    <cfRule type="cellIs" dxfId="361" priority="43" operator="lessThan">
      <formula>$D$33</formula>
    </cfRule>
    <cfRule type="cellIs" dxfId="360" priority="45" operator="between">
      <formula>$D$33</formula>
      <formula>$D$34</formula>
    </cfRule>
  </conditionalFormatting>
  <conditionalFormatting sqref="E38:E57">
    <cfRule type="cellIs" dxfId="359" priority="46" operator="lessThan">
      <formula>$E$34</formula>
    </cfRule>
    <cfRule type="cellIs" dxfId="358" priority="47" operator="greaterThan">
      <formula>$E$34</formula>
    </cfRule>
  </conditionalFormatting>
  <conditionalFormatting sqref="H12">
    <cfRule type="cellIs" dxfId="357" priority="39" operator="between">
      <formula>$G$13</formula>
      <formula>$G$14</formula>
    </cfRule>
    <cfRule type="cellIs" dxfId="356" priority="34" operator="lessThan">
      <formula>$G$14</formula>
    </cfRule>
    <cfRule type="cellIs" dxfId="355" priority="35" operator="greaterThan">
      <formula>$G$13</formula>
    </cfRule>
  </conditionalFormatting>
  <conditionalFormatting sqref="H18">
    <cfRule type="cellIs" dxfId="354" priority="8" operator="lessThan">
      <formula>$G$14</formula>
    </cfRule>
    <cfRule type="cellIs" dxfId="353" priority="9" operator="greaterThan">
      <formula>$G$13</formula>
    </cfRule>
    <cfRule type="cellIs" dxfId="352" priority="12" operator="between">
      <formula>$G$13</formula>
      <formula>$G$14</formula>
    </cfRule>
  </conditionalFormatting>
  <conditionalFormatting sqref="H38:H57">
    <cfRule type="cellIs" dxfId="351" priority="48" operator="lessThan">
      <formula>$H$34</formula>
    </cfRule>
    <cfRule type="cellIs" dxfId="350" priority="49" operator="greaterThan">
      <formula>$H$34</formula>
    </cfRule>
  </conditionalFormatting>
  <conditionalFormatting sqref="I38:I57">
    <cfRule type="cellIs" dxfId="349" priority="50" operator="lessThan">
      <formula>$I$34</formula>
    </cfRule>
    <cfRule type="cellIs" dxfId="348" priority="51" operator="greaterThan">
      <formula>$I$34</formula>
    </cfRule>
  </conditionalFormatting>
  <conditionalFormatting sqref="J38:J57">
    <cfRule type="cellIs" dxfId="347" priority="15" operator="lessThan">
      <formula>$J$34</formula>
    </cfRule>
    <cfRule type="cellIs" dxfId="346" priority="16" operator="greaterThan">
      <formula>$K$34</formula>
    </cfRule>
    <cfRule type="cellIs" dxfId="345" priority="17" operator="between">
      <formula>$J$34</formula>
      <formula>$K$34</formula>
    </cfRule>
  </conditionalFormatting>
  <conditionalFormatting sqref="L12">
    <cfRule type="cellIs" dxfId="344" priority="33" operator="greaterThan">
      <formula>$K$12</formula>
    </cfRule>
    <cfRule type="cellIs" dxfId="343" priority="32" operator="lessThan">
      <formula>$K$12</formula>
    </cfRule>
  </conditionalFormatting>
  <conditionalFormatting sqref="L13">
    <cfRule type="cellIs" dxfId="342" priority="31" operator="greaterThan">
      <formula>$K$13</formula>
    </cfRule>
    <cfRule type="cellIs" dxfId="341" priority="30" operator="lessThan">
      <formula>$K$13</formula>
    </cfRule>
  </conditionalFormatting>
  <conditionalFormatting sqref="L14 L20">
    <cfRule type="cellIs" dxfId="340" priority="28" operator="lessThan">
      <formula>$K$14</formula>
    </cfRule>
    <cfRule type="cellIs" dxfId="339" priority="29" operator="greaterThan">
      <formula>$K$14</formula>
    </cfRule>
  </conditionalFormatting>
  <conditionalFormatting sqref="L18">
    <cfRule type="cellIs" dxfId="338" priority="6" operator="lessThan">
      <formula>$K$12</formula>
    </cfRule>
    <cfRule type="cellIs" dxfId="337" priority="7" operator="greaterThan">
      <formula>$K$12</formula>
    </cfRule>
  </conditionalFormatting>
  <conditionalFormatting sqref="L19">
    <cfRule type="cellIs" dxfId="336" priority="5" operator="greaterThan">
      <formula>$K$13</formula>
    </cfRule>
    <cfRule type="cellIs" dxfId="335" priority="4" operator="lessThan">
      <formula>$K$13</formula>
    </cfRule>
  </conditionalFormatting>
  <conditionalFormatting sqref="M38:M57">
    <cfRule type="cellIs" dxfId="334" priority="52" operator="lessThan">
      <formula>$M$34</formula>
    </cfRule>
    <cfRule type="cellIs" dxfId="333" priority="53" operator="greaterThan">
      <formula>$M$34</formula>
    </cfRule>
  </conditionalFormatting>
  <conditionalFormatting sqref="O38:O57">
    <cfRule type="containsText" dxfId="332" priority="24" operator="containsText" text="Detect">
      <formula>NOT(ISERROR(SEARCH("Detect",O38)))</formula>
    </cfRule>
    <cfRule type="containsText" dxfId="331" priority="54" operator="containsText" text="ND">
      <formula>NOT(ISERROR(SEARCH("ND",O38)))</formula>
    </cfRule>
  </conditionalFormatting>
  <conditionalFormatting sqref="O38:P92">
    <cfRule type="expression" dxfId="330" priority="23">
      <formula>$O38="Detect with IS Supp"</formula>
    </cfRule>
  </conditionalFormatting>
  <conditionalFormatting sqref="P12">
    <cfRule type="cellIs" dxfId="329" priority="27" operator="between">
      <formula>$O$13</formula>
      <formula>$O$14</formula>
    </cfRule>
    <cfRule type="cellIs" dxfId="328" priority="26" operator="greaterThan">
      <formula>$O$13</formula>
    </cfRule>
    <cfRule type="cellIs" dxfId="327" priority="25" operator="lessThan">
      <formula>$O$14</formula>
    </cfRule>
  </conditionalFormatting>
  <conditionalFormatting sqref="P18">
    <cfRule type="cellIs" dxfId="326" priority="1" operator="lessThan">
      <formula>$O$14</formula>
    </cfRule>
    <cfRule type="cellIs" dxfId="325" priority="3" operator="between">
      <formula>$O$13</formula>
      <formula>$O$14</formula>
    </cfRule>
    <cfRule type="cellIs" dxfId="324" priority="2" operator="greaterThan">
      <formula>$O$13</formula>
    </cfRule>
  </conditionalFormatting>
  <conditionalFormatting sqref="Q38:U57">
    <cfRule type="containsText" dxfId="323" priority="20" operator="containsText" text="Y">
      <formula>NOT(ISERROR(SEARCH("Y",Q38)))</formula>
    </cfRule>
    <cfRule type="containsText" dxfId="322" priority="21" operator="containsText" text="N">
      <formula>NOT(ISERROR(SEARCH("N",Q38)))</formula>
    </cfRule>
  </conditionalFormatting>
  <conditionalFormatting sqref="V38:V57">
    <cfRule type="containsText" dxfId="321" priority="19" operator="containsText" text="Fail">
      <formula>NOT(ISERROR(SEARCH("Fail",V38)))</formula>
    </cfRule>
    <cfRule type="containsText" dxfId="320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92"/>
  <sheetViews>
    <sheetView topLeftCell="A30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1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11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23622.274575662574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471645.65003891999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25.077877286093749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25.327234413066499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58911.304571989749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60246.679830649751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23622.274575662574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471645.65003891999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25.077877286093749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25.327234413066499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58911.304571989749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60246.679830649751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Acryl Fentanyl Results</v>
      </c>
      <c r="E22" s="95"/>
      <c r="F22" s="95"/>
      <c r="G22" s="95"/>
      <c r="H22" s="96"/>
      <c r="I22" s="20" t="str">
        <f>I60</f>
        <v>Qualifier (335.2 -&gt; 188.1) Method</v>
      </c>
      <c r="J22" s="94" t="str">
        <f>J60</f>
        <v>Qualifier (335.2 -&gt; 188.1) Results</v>
      </c>
      <c r="K22" s="96"/>
      <c r="L22" s="94" t="str">
        <f>L60</f>
        <v>Acryl Fentanyl D5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89" t="s">
        <v>48</v>
      </c>
      <c r="R29" s="90"/>
      <c r="S29" s="90"/>
      <c r="T29" s="90"/>
      <c r="U29" s="90"/>
      <c r="V29" s="91"/>
      <c r="X29" s="5"/>
      <c r="Y29" s="5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29.25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58911.304571989749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Acryl Fentanyl Results</v>
      </c>
      <c r="E36" s="114"/>
      <c r="F36" s="114"/>
      <c r="G36" s="114"/>
      <c r="H36" s="114"/>
      <c r="I36" s="13" t="str">
        <f>I22</f>
        <v>Qualifier (335.2 -&gt; 188.1) Method</v>
      </c>
      <c r="J36" s="114" t="str">
        <f>J22</f>
        <v>Qualifier (335.2 -&gt; 188.1) Results</v>
      </c>
      <c r="K36" s="114"/>
      <c r="L36" s="114" t="str">
        <f>L22</f>
        <v>Acryl Fentanyl D5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105</v>
      </c>
      <c r="E60" s="16"/>
      <c r="F60" s="16"/>
      <c r="G60" s="16"/>
      <c r="H60" s="16"/>
      <c r="I60" s="16" t="s">
        <v>106</v>
      </c>
      <c r="J60" s="16" t="s">
        <v>107</v>
      </c>
      <c r="K60" s="16"/>
      <c r="L60" s="16" t="s">
        <v>108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80"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O22:P23"/>
    <mergeCell ref="O24:P27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7:P37"/>
    <mergeCell ref="Q29:V29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A29:P29"/>
    <mergeCell ref="D22:H22"/>
    <mergeCell ref="J22:K22"/>
    <mergeCell ref="L22:N2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319" priority="42" operator="greaterThan">
      <formula>$C$12</formula>
    </cfRule>
    <cfRule type="cellIs" dxfId="318" priority="38" operator="lessThan">
      <formula>$C$12</formula>
    </cfRule>
  </conditionalFormatting>
  <conditionalFormatting sqref="D13">
    <cfRule type="cellIs" dxfId="317" priority="41" operator="greaterThan">
      <formula>$C$13</formula>
    </cfRule>
    <cfRule type="cellIs" dxfId="316" priority="37" operator="lessThan">
      <formula>$C$13</formula>
    </cfRule>
  </conditionalFormatting>
  <conditionalFormatting sqref="D14 D20">
    <cfRule type="cellIs" dxfId="315" priority="40" operator="greaterThan">
      <formula>$C$14</formula>
    </cfRule>
    <cfRule type="cellIs" dxfId="314" priority="36" operator="lessThan">
      <formula>$C$14</formula>
    </cfRule>
  </conditionalFormatting>
  <conditionalFormatting sqref="D18">
    <cfRule type="cellIs" dxfId="313" priority="11" operator="lessThan">
      <formula>$C$12</formula>
    </cfRule>
    <cfRule type="cellIs" dxfId="312" priority="14" operator="greaterThan">
      <formula>$C$12</formula>
    </cfRule>
  </conditionalFormatting>
  <conditionalFormatting sqref="D19">
    <cfRule type="cellIs" dxfId="311" priority="13" operator="greaterThan">
      <formula>$C$13</formula>
    </cfRule>
    <cfRule type="cellIs" dxfId="310" priority="10" operator="lessThan">
      <formula>$C$13</formula>
    </cfRule>
  </conditionalFormatting>
  <conditionalFormatting sqref="D38:D57">
    <cfRule type="cellIs" dxfId="309" priority="44" operator="greaterThan">
      <formula>$D$34</formula>
    </cfRule>
    <cfRule type="cellIs" dxfId="308" priority="43" operator="lessThan">
      <formula>$D$33</formula>
    </cfRule>
    <cfRule type="cellIs" dxfId="307" priority="45" operator="between">
      <formula>$D$33</formula>
      <formula>$D$34</formula>
    </cfRule>
  </conditionalFormatting>
  <conditionalFormatting sqref="E38:E57">
    <cfRule type="cellIs" dxfId="306" priority="46" operator="lessThan">
      <formula>$E$34</formula>
    </cfRule>
    <cfRule type="cellIs" dxfId="305" priority="47" operator="greaterThan">
      <formula>$E$34</formula>
    </cfRule>
  </conditionalFormatting>
  <conditionalFormatting sqref="H12">
    <cfRule type="cellIs" dxfId="304" priority="39" operator="between">
      <formula>$G$13</formula>
      <formula>$G$14</formula>
    </cfRule>
    <cfRule type="cellIs" dxfId="303" priority="34" operator="lessThan">
      <formula>$G$14</formula>
    </cfRule>
    <cfRule type="cellIs" dxfId="302" priority="35" operator="greaterThan">
      <formula>$G$13</formula>
    </cfRule>
  </conditionalFormatting>
  <conditionalFormatting sqref="H18">
    <cfRule type="cellIs" dxfId="301" priority="8" operator="lessThan">
      <formula>$G$14</formula>
    </cfRule>
    <cfRule type="cellIs" dxfId="300" priority="9" operator="greaterThan">
      <formula>$G$13</formula>
    </cfRule>
    <cfRule type="cellIs" dxfId="299" priority="12" operator="between">
      <formula>$G$13</formula>
      <formula>$G$14</formula>
    </cfRule>
  </conditionalFormatting>
  <conditionalFormatting sqref="H38:H57">
    <cfRule type="cellIs" dxfId="298" priority="48" operator="lessThan">
      <formula>$H$34</formula>
    </cfRule>
    <cfRule type="cellIs" dxfId="297" priority="49" operator="greaterThan">
      <formula>$H$34</formula>
    </cfRule>
  </conditionalFormatting>
  <conditionalFormatting sqref="I38:I57">
    <cfRule type="cellIs" dxfId="296" priority="50" operator="lessThan">
      <formula>$I$34</formula>
    </cfRule>
    <cfRule type="cellIs" dxfId="295" priority="51" operator="greaterThan">
      <formula>$I$34</formula>
    </cfRule>
  </conditionalFormatting>
  <conditionalFormatting sqref="J38:J57">
    <cfRule type="cellIs" dxfId="294" priority="15" operator="lessThan">
      <formula>$J$34</formula>
    </cfRule>
    <cfRule type="cellIs" dxfId="293" priority="16" operator="greaterThan">
      <formula>$K$34</formula>
    </cfRule>
    <cfRule type="cellIs" dxfId="292" priority="17" operator="between">
      <formula>$J$34</formula>
      <formula>$K$34</formula>
    </cfRule>
  </conditionalFormatting>
  <conditionalFormatting sqref="L12">
    <cfRule type="cellIs" dxfId="291" priority="33" operator="greaterThan">
      <formula>$K$12</formula>
    </cfRule>
    <cfRule type="cellIs" dxfId="290" priority="32" operator="lessThan">
      <formula>$K$12</formula>
    </cfRule>
  </conditionalFormatting>
  <conditionalFormatting sqref="L13">
    <cfRule type="cellIs" dxfId="289" priority="31" operator="greaterThan">
      <formula>$K$13</formula>
    </cfRule>
    <cfRule type="cellIs" dxfId="288" priority="30" operator="lessThan">
      <formula>$K$13</formula>
    </cfRule>
  </conditionalFormatting>
  <conditionalFormatting sqref="L14 L20">
    <cfRule type="cellIs" dxfId="287" priority="28" operator="lessThan">
      <formula>$K$14</formula>
    </cfRule>
    <cfRule type="cellIs" dxfId="286" priority="29" operator="greaterThan">
      <formula>$K$14</formula>
    </cfRule>
  </conditionalFormatting>
  <conditionalFormatting sqref="L18">
    <cfRule type="cellIs" dxfId="285" priority="6" operator="lessThan">
      <formula>$K$12</formula>
    </cfRule>
    <cfRule type="cellIs" dxfId="284" priority="7" operator="greaterThan">
      <formula>$K$12</formula>
    </cfRule>
  </conditionalFormatting>
  <conditionalFormatting sqref="L19">
    <cfRule type="cellIs" dxfId="283" priority="5" operator="greaterThan">
      <formula>$K$13</formula>
    </cfRule>
    <cfRule type="cellIs" dxfId="282" priority="4" operator="lessThan">
      <formula>$K$13</formula>
    </cfRule>
  </conditionalFormatting>
  <conditionalFormatting sqref="M38:M57">
    <cfRule type="cellIs" dxfId="281" priority="52" operator="lessThan">
      <formula>$M$34</formula>
    </cfRule>
    <cfRule type="cellIs" dxfId="280" priority="53" operator="greaterThan">
      <formula>$M$34</formula>
    </cfRule>
  </conditionalFormatting>
  <conditionalFormatting sqref="O38:O57">
    <cfRule type="containsText" dxfId="279" priority="24" operator="containsText" text="Detect">
      <formula>NOT(ISERROR(SEARCH("Detect",O38)))</formula>
    </cfRule>
    <cfRule type="containsText" dxfId="278" priority="54" operator="containsText" text="ND">
      <formula>NOT(ISERROR(SEARCH("ND",O38)))</formula>
    </cfRule>
  </conditionalFormatting>
  <conditionalFormatting sqref="O38:P92">
    <cfRule type="expression" dxfId="277" priority="23">
      <formula>$O38="Detect with IS Supp"</formula>
    </cfRule>
  </conditionalFormatting>
  <conditionalFormatting sqref="P12">
    <cfRule type="cellIs" dxfId="276" priority="27" operator="between">
      <formula>$O$13</formula>
      <formula>$O$14</formula>
    </cfRule>
    <cfRule type="cellIs" dxfId="275" priority="26" operator="greaterThan">
      <formula>$O$13</formula>
    </cfRule>
    <cfRule type="cellIs" dxfId="274" priority="25" operator="lessThan">
      <formula>$O$14</formula>
    </cfRule>
  </conditionalFormatting>
  <conditionalFormatting sqref="P18">
    <cfRule type="cellIs" dxfId="273" priority="1" operator="lessThan">
      <formula>$O$14</formula>
    </cfRule>
    <cfRule type="cellIs" dxfId="272" priority="3" operator="between">
      <formula>$O$13</formula>
      <formula>$O$14</formula>
    </cfRule>
    <cfRule type="cellIs" dxfId="271" priority="2" operator="greaterThan">
      <formula>$O$13</formula>
    </cfRule>
  </conditionalFormatting>
  <conditionalFormatting sqref="Q38:U57">
    <cfRule type="containsText" dxfId="270" priority="20" operator="containsText" text="Y">
      <formula>NOT(ISERROR(SEARCH("Y",Q38)))</formula>
    </cfRule>
    <cfRule type="containsText" dxfId="269" priority="21" operator="containsText" text="N">
      <formula>NOT(ISERROR(SEARCH("N",Q38)))</formula>
    </cfRule>
  </conditionalFormatting>
  <conditionalFormatting sqref="V38:V57">
    <cfRule type="containsText" dxfId="268" priority="19" operator="containsText" text="Fail">
      <formula>NOT(ISERROR(SEARCH("Fail",V38)))</formula>
    </cfRule>
    <cfRule type="containsText" dxfId="267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92"/>
  <sheetViews>
    <sheetView topLeftCell="A30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14062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12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71" t="str">
        <f>Codeine!J5</f>
        <v>Reviewer:</v>
      </c>
      <c r="K5" s="172"/>
      <c r="L5" s="173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23235.877268321976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458860.98533605249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v>2.887216666666665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24.076633380725774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25.07304967156675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2.9872166666666651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68486.908613660751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57124.399688630248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2.7872166666666649</v>
      </c>
      <c r="P14" s="44" t="str">
        <f>IF(AND(P12&gt;O14,P12&lt;O13),"PASS","FAIL")</f>
        <v>FAIL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23235.877268321976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458860.98533605249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v>2.887216666666665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24.076633380725774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25.07304967156675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2.9872166666666651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68486.908613660751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57124.399688630248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2.7872166666666649</v>
      </c>
      <c r="P20" s="44" t="str">
        <f>IF(AND(P18&gt;O20,P18&lt;O19),"PASS","FAIL")</f>
        <v>FAIL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Fentanyl Results</v>
      </c>
      <c r="E22" s="95"/>
      <c r="F22" s="95"/>
      <c r="G22" s="95"/>
      <c r="H22" s="96"/>
      <c r="I22" s="20" t="str">
        <f>I60</f>
        <v>Qualifier (337.2 -&gt; 188.1) Method</v>
      </c>
      <c r="J22" s="94" t="str">
        <f>J60</f>
        <v>Qualifier (337.2 -&gt; 188.1) Results</v>
      </c>
      <c r="K22" s="96"/>
      <c r="L22" s="94" t="str">
        <f>L60</f>
        <v>Fentanyl-13C6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63" t="s">
        <v>48</v>
      </c>
      <c r="R29" s="64"/>
      <c r="S29" s="64"/>
      <c r="T29" s="64"/>
      <c r="U29" s="64"/>
      <c r="V29" s="64"/>
      <c r="X29" s="5"/>
      <c r="Y29" s="5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15.75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30" customHeight="1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68486.908613660751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Fentanyl Results</v>
      </c>
      <c r="E36" s="114"/>
      <c r="F36" s="114"/>
      <c r="G36" s="114"/>
      <c r="H36" s="114"/>
      <c r="I36" s="13" t="str">
        <f>I22</f>
        <v>Qualifier (337.2 -&gt; 188.1) Method</v>
      </c>
      <c r="J36" s="114" t="str">
        <f>J22</f>
        <v>Qualifier (337.2 -&gt; 188.1) Results</v>
      </c>
      <c r="K36" s="114"/>
      <c r="L36" s="114" t="str">
        <f>L22</f>
        <v>Fentanyl-13C6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109</v>
      </c>
      <c r="E60" s="16"/>
      <c r="F60" s="16"/>
      <c r="G60" s="16"/>
      <c r="H60" s="16"/>
      <c r="I60" s="16" t="s">
        <v>110</v>
      </c>
      <c r="J60" s="16" t="s">
        <v>111</v>
      </c>
      <c r="K60" s="16"/>
      <c r="L60" s="16" t="s">
        <v>112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9:P9"/>
    <mergeCell ref="D22:H22"/>
    <mergeCell ref="J22:K22"/>
    <mergeCell ref="L22:N22"/>
    <mergeCell ref="O22:P23"/>
    <mergeCell ref="O24:P27"/>
    <mergeCell ref="A29:P29"/>
    <mergeCell ref="A30:P30"/>
    <mergeCell ref="A31:A34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A59:P59"/>
    <mergeCell ref="E34:F34"/>
    <mergeCell ref="D36:H36"/>
    <mergeCell ref="J36:K36"/>
    <mergeCell ref="L36:N36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37:P37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266" priority="42" operator="greaterThan">
      <formula>$C$12</formula>
    </cfRule>
    <cfRule type="cellIs" dxfId="265" priority="38" operator="lessThan">
      <formula>$C$12</formula>
    </cfRule>
  </conditionalFormatting>
  <conditionalFormatting sqref="D13">
    <cfRule type="cellIs" dxfId="264" priority="41" operator="greaterThan">
      <formula>$C$13</formula>
    </cfRule>
    <cfRule type="cellIs" dxfId="263" priority="37" operator="lessThan">
      <formula>$C$13</formula>
    </cfRule>
  </conditionalFormatting>
  <conditionalFormatting sqref="D14 D20">
    <cfRule type="cellIs" dxfId="262" priority="40" operator="greaterThan">
      <formula>$C$14</formula>
    </cfRule>
    <cfRule type="cellIs" dxfId="261" priority="36" operator="lessThan">
      <formula>$C$14</formula>
    </cfRule>
  </conditionalFormatting>
  <conditionalFormatting sqref="D18">
    <cfRule type="cellIs" dxfId="260" priority="11" operator="lessThan">
      <formula>$C$12</formula>
    </cfRule>
    <cfRule type="cellIs" dxfId="259" priority="14" operator="greaterThan">
      <formula>$C$12</formula>
    </cfRule>
  </conditionalFormatting>
  <conditionalFormatting sqref="D19">
    <cfRule type="cellIs" dxfId="258" priority="13" operator="greaterThan">
      <formula>$C$13</formula>
    </cfRule>
    <cfRule type="cellIs" dxfId="257" priority="10" operator="lessThan">
      <formula>$C$13</formula>
    </cfRule>
  </conditionalFormatting>
  <conditionalFormatting sqref="D38:D57">
    <cfRule type="cellIs" dxfId="256" priority="44" operator="greaterThan">
      <formula>$D$34</formula>
    </cfRule>
    <cfRule type="cellIs" dxfId="255" priority="43" operator="lessThan">
      <formula>$D$33</formula>
    </cfRule>
    <cfRule type="cellIs" dxfId="254" priority="45" operator="between">
      <formula>$D$33</formula>
      <formula>$D$34</formula>
    </cfRule>
  </conditionalFormatting>
  <conditionalFormatting sqref="E38:E57">
    <cfRule type="cellIs" dxfId="253" priority="46" operator="lessThan">
      <formula>$E$34</formula>
    </cfRule>
    <cfRule type="cellIs" dxfId="252" priority="47" operator="greaterThan">
      <formula>$E$34</formula>
    </cfRule>
  </conditionalFormatting>
  <conditionalFormatting sqref="H12">
    <cfRule type="cellIs" dxfId="251" priority="39" operator="between">
      <formula>$G$13</formula>
      <formula>$G$14</formula>
    </cfRule>
    <cfRule type="cellIs" dxfId="250" priority="34" operator="lessThan">
      <formula>$G$14</formula>
    </cfRule>
    <cfRule type="cellIs" dxfId="249" priority="35" operator="greaterThan">
      <formula>$G$13</formula>
    </cfRule>
  </conditionalFormatting>
  <conditionalFormatting sqref="H18">
    <cfRule type="cellIs" dxfId="248" priority="8" operator="lessThan">
      <formula>$G$14</formula>
    </cfRule>
    <cfRule type="cellIs" dxfId="247" priority="9" operator="greaterThan">
      <formula>$G$13</formula>
    </cfRule>
    <cfRule type="cellIs" dxfId="246" priority="12" operator="between">
      <formula>$G$13</formula>
      <formula>$G$14</formula>
    </cfRule>
  </conditionalFormatting>
  <conditionalFormatting sqref="H38:H57">
    <cfRule type="cellIs" dxfId="245" priority="48" operator="lessThan">
      <formula>$H$34</formula>
    </cfRule>
    <cfRule type="cellIs" dxfId="244" priority="49" operator="greaterThan">
      <formula>$H$34</formula>
    </cfRule>
  </conditionalFormatting>
  <conditionalFormatting sqref="I38:I57">
    <cfRule type="cellIs" dxfId="243" priority="50" operator="lessThan">
      <formula>$I$34</formula>
    </cfRule>
    <cfRule type="cellIs" dxfId="242" priority="51" operator="greaterThan">
      <formula>$I$34</formula>
    </cfRule>
  </conditionalFormatting>
  <conditionalFormatting sqref="J38:J57">
    <cfRule type="cellIs" dxfId="241" priority="15" operator="lessThan">
      <formula>$J$34</formula>
    </cfRule>
    <cfRule type="cellIs" dxfId="240" priority="16" operator="greaterThan">
      <formula>$K$34</formula>
    </cfRule>
    <cfRule type="cellIs" dxfId="239" priority="17" operator="between">
      <formula>$J$34</formula>
      <formula>$K$34</formula>
    </cfRule>
  </conditionalFormatting>
  <conditionalFormatting sqref="L12">
    <cfRule type="cellIs" dxfId="238" priority="33" operator="greaterThan">
      <formula>$K$12</formula>
    </cfRule>
    <cfRule type="cellIs" dxfId="237" priority="32" operator="lessThan">
      <formula>$K$12</formula>
    </cfRule>
  </conditionalFormatting>
  <conditionalFormatting sqref="L13">
    <cfRule type="cellIs" dxfId="236" priority="31" operator="greaterThan">
      <formula>$K$13</formula>
    </cfRule>
    <cfRule type="cellIs" dxfId="235" priority="30" operator="lessThan">
      <formula>$K$13</formula>
    </cfRule>
  </conditionalFormatting>
  <conditionalFormatting sqref="L14 L20">
    <cfRule type="cellIs" dxfId="234" priority="28" operator="lessThan">
      <formula>$K$14</formula>
    </cfRule>
    <cfRule type="cellIs" dxfId="233" priority="29" operator="greaterThan">
      <formula>$K$14</formula>
    </cfRule>
  </conditionalFormatting>
  <conditionalFormatting sqref="L18">
    <cfRule type="cellIs" dxfId="232" priority="6" operator="lessThan">
      <formula>$K$12</formula>
    </cfRule>
    <cfRule type="cellIs" dxfId="231" priority="7" operator="greaterThan">
      <formula>$K$12</formula>
    </cfRule>
  </conditionalFormatting>
  <conditionalFormatting sqref="L19">
    <cfRule type="cellIs" dxfId="230" priority="5" operator="greaterThan">
      <formula>$K$13</formula>
    </cfRule>
    <cfRule type="cellIs" dxfId="229" priority="4" operator="lessThan">
      <formula>$K$13</formula>
    </cfRule>
  </conditionalFormatting>
  <conditionalFormatting sqref="M38:M57">
    <cfRule type="cellIs" dxfId="228" priority="52" operator="lessThan">
      <formula>$M$34</formula>
    </cfRule>
    <cfRule type="cellIs" dxfId="227" priority="53" operator="greaterThan">
      <formula>$M$34</formula>
    </cfRule>
  </conditionalFormatting>
  <conditionalFormatting sqref="O38:O57">
    <cfRule type="containsText" dxfId="226" priority="24" operator="containsText" text="Detect">
      <formula>NOT(ISERROR(SEARCH("Detect",O38)))</formula>
    </cfRule>
    <cfRule type="containsText" dxfId="225" priority="54" operator="containsText" text="ND">
      <formula>NOT(ISERROR(SEARCH("ND",O38)))</formula>
    </cfRule>
  </conditionalFormatting>
  <conditionalFormatting sqref="O38:P92">
    <cfRule type="expression" dxfId="224" priority="23">
      <formula>$O38="Detect with IS Supp"</formula>
    </cfRule>
  </conditionalFormatting>
  <conditionalFormatting sqref="P12">
    <cfRule type="cellIs" dxfId="223" priority="27" operator="between">
      <formula>$O$13</formula>
      <formula>$O$14</formula>
    </cfRule>
    <cfRule type="cellIs" dxfId="222" priority="26" operator="greaterThan">
      <formula>$O$13</formula>
    </cfRule>
    <cfRule type="cellIs" dxfId="221" priority="25" operator="lessThan">
      <formula>$O$14</formula>
    </cfRule>
  </conditionalFormatting>
  <conditionalFormatting sqref="P18">
    <cfRule type="cellIs" dxfId="220" priority="1" operator="lessThan">
      <formula>$O$14</formula>
    </cfRule>
    <cfRule type="cellIs" dxfId="219" priority="3" operator="between">
      <formula>$O$13</formula>
      <formula>$O$14</formula>
    </cfRule>
    <cfRule type="cellIs" dxfId="218" priority="2" operator="greaterThan">
      <formula>$O$13</formula>
    </cfRule>
  </conditionalFormatting>
  <conditionalFormatting sqref="Q38:U57">
    <cfRule type="containsText" dxfId="217" priority="20" operator="containsText" text="Y">
      <formula>NOT(ISERROR(SEARCH("Y",Q38)))</formula>
    </cfRule>
    <cfRule type="containsText" dxfId="216" priority="21" operator="containsText" text="N">
      <formula>NOT(ISERROR(SEARCH("N",Q38)))</formula>
    </cfRule>
  </conditionalFormatting>
  <conditionalFormatting sqref="V38:V57">
    <cfRule type="containsText" dxfId="215" priority="19" operator="containsText" text="Fail">
      <formula>NOT(ISERROR(SEARCH("Fail",V38)))</formula>
    </cfRule>
    <cfRule type="containsText" dxfId="214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92"/>
  <sheetViews>
    <sheetView topLeftCell="A31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710937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13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49" t="str">
        <f>Codeine!J5</f>
        <v>Reviewer:</v>
      </c>
      <c r="K5" s="150"/>
      <c r="L5" s="151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72"/>
      <c r="B9" s="158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26509.565431981249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399611.395678295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22.62565405616775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22.25959367736705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74849.545031581743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45360.139176117751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72"/>
      <c r="B15" s="158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26509.565431981249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399611.395678295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22.62565405616775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22.25959367736705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74849.545031581743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45360.139176117751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4-ANPP Results</v>
      </c>
      <c r="E22" s="95"/>
      <c r="F22" s="95"/>
      <c r="G22" s="95"/>
      <c r="H22" s="96"/>
      <c r="I22" s="20" t="str">
        <f>I60</f>
        <v>Qualifier (281.2 -&gt; 188.1) Method</v>
      </c>
      <c r="J22" s="94" t="str">
        <f>J60</f>
        <v>Qualifier (281.2 -&gt; 188.1) Results</v>
      </c>
      <c r="K22" s="96"/>
      <c r="L22" s="94" t="str">
        <f>L60</f>
        <v>4-ANPP-13C6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59" t="s">
        <v>47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1"/>
      <c r="Q29" s="89" t="s">
        <v>48</v>
      </c>
      <c r="R29" s="90"/>
      <c r="S29" s="90"/>
      <c r="T29" s="90"/>
      <c r="U29" s="90"/>
      <c r="V29" s="91"/>
      <c r="X29" s="5"/>
      <c r="Y29" s="5"/>
      <c r="Z29" s="5"/>
      <c r="AA29" s="5"/>
      <c r="AB29" s="5"/>
    </row>
    <row r="30" spans="1:39" ht="67.5" customHeight="1" x14ac:dyDescent="0.25">
      <c r="A30" s="162" t="s">
        <v>49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30" x14ac:dyDescent="0.25">
      <c r="A31" s="65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29.25" customHeight="1" x14ac:dyDescent="0.25">
      <c r="A32" s="66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66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67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1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74849.545031581743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4-ANPP Results</v>
      </c>
      <c r="E36" s="114"/>
      <c r="F36" s="114"/>
      <c r="G36" s="114"/>
      <c r="H36" s="114"/>
      <c r="I36" s="13" t="str">
        <f>I22</f>
        <v>Qualifier (281.2 -&gt; 188.1) Method</v>
      </c>
      <c r="J36" s="114" t="str">
        <f>J22</f>
        <v>Qualifier (281.2 -&gt; 188.1) Results</v>
      </c>
      <c r="K36" s="114"/>
      <c r="L36" s="114" t="str">
        <f>L22</f>
        <v>4-ANPP-13C6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39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113</v>
      </c>
      <c r="E60" s="16"/>
      <c r="F60" s="16"/>
      <c r="G60" s="16"/>
      <c r="H60" s="16"/>
      <c r="I60" s="16" t="s">
        <v>114</v>
      </c>
      <c r="J60" s="16" t="s">
        <v>115</v>
      </c>
      <c r="K60" s="16"/>
      <c r="L60" s="16" t="s">
        <v>116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A59:P59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L22:N22"/>
    <mergeCell ref="O22:P23"/>
    <mergeCell ref="O24:P27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B9:P9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E34:F34"/>
    <mergeCell ref="D36:H36"/>
    <mergeCell ref="J36:K36"/>
    <mergeCell ref="L36:N36"/>
    <mergeCell ref="O44:P44"/>
    <mergeCell ref="O45:P45"/>
    <mergeCell ref="O46:P46"/>
    <mergeCell ref="O47:P47"/>
    <mergeCell ref="O37:P37"/>
    <mergeCell ref="O39:P39"/>
    <mergeCell ref="O40:P40"/>
    <mergeCell ref="O41:P41"/>
    <mergeCell ref="O42:P42"/>
    <mergeCell ref="O43:P43"/>
    <mergeCell ref="O38:P38"/>
    <mergeCell ref="A16:A20"/>
    <mergeCell ref="A30:P30"/>
    <mergeCell ref="A29:P29"/>
    <mergeCell ref="Q29:V29"/>
    <mergeCell ref="B15:P15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D22:H22"/>
    <mergeCell ref="J22:K2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213" priority="42" operator="greaterThan">
      <formula>$C$12</formula>
    </cfRule>
    <cfRule type="cellIs" dxfId="212" priority="38" operator="lessThan">
      <formula>$C$12</formula>
    </cfRule>
  </conditionalFormatting>
  <conditionalFormatting sqref="D13">
    <cfRule type="cellIs" dxfId="211" priority="41" operator="greaterThan">
      <formula>$C$13</formula>
    </cfRule>
    <cfRule type="cellIs" dxfId="210" priority="37" operator="lessThan">
      <formula>$C$13</formula>
    </cfRule>
  </conditionalFormatting>
  <conditionalFormatting sqref="D14 D20">
    <cfRule type="cellIs" dxfId="209" priority="40" operator="greaterThan">
      <formula>$C$14</formula>
    </cfRule>
    <cfRule type="cellIs" dxfId="208" priority="36" operator="lessThan">
      <formula>$C$14</formula>
    </cfRule>
  </conditionalFormatting>
  <conditionalFormatting sqref="D18">
    <cfRule type="cellIs" dxfId="207" priority="11" operator="lessThan">
      <formula>$C$12</formula>
    </cfRule>
    <cfRule type="cellIs" dxfId="206" priority="14" operator="greaterThan">
      <formula>$C$12</formula>
    </cfRule>
  </conditionalFormatting>
  <conditionalFormatting sqref="D19">
    <cfRule type="cellIs" dxfId="205" priority="13" operator="greaterThan">
      <formula>$C$13</formula>
    </cfRule>
    <cfRule type="cellIs" dxfId="204" priority="10" operator="lessThan">
      <formula>$C$13</formula>
    </cfRule>
  </conditionalFormatting>
  <conditionalFormatting sqref="D38:D57">
    <cfRule type="cellIs" dxfId="203" priority="44" operator="greaterThan">
      <formula>$D$34</formula>
    </cfRule>
    <cfRule type="cellIs" dxfId="202" priority="43" operator="lessThan">
      <formula>$D$33</formula>
    </cfRule>
    <cfRule type="cellIs" dxfId="201" priority="45" operator="between">
      <formula>$D$33</formula>
      <formula>$D$34</formula>
    </cfRule>
  </conditionalFormatting>
  <conditionalFormatting sqref="E38:E57">
    <cfRule type="cellIs" dxfId="200" priority="46" operator="lessThan">
      <formula>$E$34</formula>
    </cfRule>
    <cfRule type="cellIs" dxfId="199" priority="47" operator="greaterThan">
      <formula>$E$34</formula>
    </cfRule>
  </conditionalFormatting>
  <conditionalFormatting sqref="H12">
    <cfRule type="cellIs" dxfId="198" priority="39" operator="between">
      <formula>$G$13</formula>
      <formula>$G$14</formula>
    </cfRule>
    <cfRule type="cellIs" dxfId="197" priority="34" operator="lessThan">
      <formula>$G$14</formula>
    </cfRule>
    <cfRule type="cellIs" dxfId="196" priority="35" operator="greaterThan">
      <formula>$G$13</formula>
    </cfRule>
  </conditionalFormatting>
  <conditionalFormatting sqref="H18">
    <cfRule type="cellIs" dxfId="195" priority="8" operator="lessThan">
      <formula>$G$14</formula>
    </cfRule>
    <cfRule type="cellIs" dxfId="194" priority="9" operator="greaterThan">
      <formula>$G$13</formula>
    </cfRule>
    <cfRule type="cellIs" dxfId="193" priority="12" operator="between">
      <formula>$G$13</formula>
      <formula>$G$14</formula>
    </cfRule>
  </conditionalFormatting>
  <conditionalFormatting sqref="H38:H57">
    <cfRule type="cellIs" dxfId="192" priority="48" operator="lessThan">
      <formula>$H$34</formula>
    </cfRule>
    <cfRule type="cellIs" dxfId="191" priority="49" operator="greaterThan">
      <formula>$H$34</formula>
    </cfRule>
  </conditionalFormatting>
  <conditionalFormatting sqref="I38:I57">
    <cfRule type="cellIs" dxfId="190" priority="50" operator="lessThan">
      <formula>$I$34</formula>
    </cfRule>
    <cfRule type="cellIs" dxfId="189" priority="51" operator="greaterThan">
      <formula>$I$34</formula>
    </cfRule>
  </conditionalFormatting>
  <conditionalFormatting sqref="J38:J57">
    <cfRule type="cellIs" dxfId="188" priority="15" operator="lessThan">
      <formula>$J$34</formula>
    </cfRule>
    <cfRule type="cellIs" dxfId="187" priority="16" operator="greaterThan">
      <formula>$K$34</formula>
    </cfRule>
    <cfRule type="cellIs" dxfId="186" priority="17" operator="between">
      <formula>$J$34</formula>
      <formula>$K$34</formula>
    </cfRule>
  </conditionalFormatting>
  <conditionalFormatting sqref="L12">
    <cfRule type="cellIs" dxfId="185" priority="33" operator="greaterThan">
      <formula>$K$12</formula>
    </cfRule>
    <cfRule type="cellIs" dxfId="184" priority="32" operator="lessThan">
      <formula>$K$12</formula>
    </cfRule>
  </conditionalFormatting>
  <conditionalFormatting sqref="L13">
    <cfRule type="cellIs" dxfId="183" priority="31" operator="greaterThan">
      <formula>$K$13</formula>
    </cfRule>
    <cfRule type="cellIs" dxfId="182" priority="30" operator="lessThan">
      <formula>$K$13</formula>
    </cfRule>
  </conditionalFormatting>
  <conditionalFormatting sqref="L14 L20">
    <cfRule type="cellIs" dxfId="181" priority="28" operator="lessThan">
      <formula>$K$14</formula>
    </cfRule>
    <cfRule type="cellIs" dxfId="180" priority="29" operator="greaterThan">
      <formula>$K$14</formula>
    </cfRule>
  </conditionalFormatting>
  <conditionalFormatting sqref="L18">
    <cfRule type="cellIs" dxfId="179" priority="6" operator="lessThan">
      <formula>$K$12</formula>
    </cfRule>
    <cfRule type="cellIs" dxfId="178" priority="7" operator="greaterThan">
      <formula>$K$12</formula>
    </cfRule>
  </conditionalFormatting>
  <conditionalFormatting sqref="L19">
    <cfRule type="cellIs" dxfId="177" priority="5" operator="greaterThan">
      <formula>$K$13</formula>
    </cfRule>
    <cfRule type="cellIs" dxfId="176" priority="4" operator="lessThan">
      <formula>$K$13</formula>
    </cfRule>
  </conditionalFormatting>
  <conditionalFormatting sqref="M38:M57">
    <cfRule type="cellIs" dxfId="175" priority="52" operator="lessThan">
      <formula>$M$34</formula>
    </cfRule>
    <cfRule type="cellIs" dxfId="174" priority="53" operator="greaterThan">
      <formula>$M$34</formula>
    </cfRule>
  </conditionalFormatting>
  <conditionalFormatting sqref="O38:O57">
    <cfRule type="containsText" dxfId="173" priority="24" operator="containsText" text="Detect">
      <formula>NOT(ISERROR(SEARCH("Detect",O38)))</formula>
    </cfRule>
    <cfRule type="containsText" dxfId="172" priority="54" operator="containsText" text="ND">
      <formula>NOT(ISERROR(SEARCH("ND",O38)))</formula>
    </cfRule>
  </conditionalFormatting>
  <conditionalFormatting sqref="O38:P92">
    <cfRule type="expression" dxfId="171" priority="23">
      <formula>$O38="Detect with IS Supp"</formula>
    </cfRule>
  </conditionalFormatting>
  <conditionalFormatting sqref="P12">
    <cfRule type="cellIs" dxfId="170" priority="27" operator="between">
      <formula>$O$13</formula>
      <formula>$O$14</formula>
    </cfRule>
    <cfRule type="cellIs" dxfId="169" priority="26" operator="greaterThan">
      <formula>$O$13</formula>
    </cfRule>
    <cfRule type="cellIs" dxfId="168" priority="25" operator="lessThan">
      <formula>$O$14</formula>
    </cfRule>
  </conditionalFormatting>
  <conditionalFormatting sqref="P18">
    <cfRule type="cellIs" dxfId="167" priority="1" operator="lessThan">
      <formula>$O$14</formula>
    </cfRule>
    <cfRule type="cellIs" dxfId="166" priority="3" operator="between">
      <formula>$O$13</formula>
      <formula>$O$14</formula>
    </cfRule>
    <cfRule type="cellIs" dxfId="165" priority="2" operator="greaterThan">
      <formula>$O$13</formula>
    </cfRule>
  </conditionalFormatting>
  <conditionalFormatting sqref="Q38:U57">
    <cfRule type="containsText" dxfId="164" priority="20" operator="containsText" text="Y">
      <formula>NOT(ISERROR(SEARCH("Y",Q38)))</formula>
    </cfRule>
    <cfRule type="containsText" dxfId="163" priority="21" operator="containsText" text="N">
      <formula>NOT(ISERROR(SEARCH("N",Q38)))</formula>
    </cfRule>
  </conditionalFormatting>
  <conditionalFormatting sqref="V38:V57">
    <cfRule type="containsText" dxfId="162" priority="19" operator="containsText" text="Fail">
      <formula>NOT(ISERROR(SEARCH("Fail",V38)))</formula>
    </cfRule>
    <cfRule type="containsText" dxfId="161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P92"/>
  <sheetViews>
    <sheetView topLeftCell="A30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1.14062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14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49" t="str">
        <f>Codeine!J5</f>
        <v>Reviewer:</v>
      </c>
      <c r="K5" s="150"/>
      <c r="L5" s="151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158"/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22136.973224272024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465170.33025406249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23.051432840639475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24.268105363710649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56224.484499557751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50792.624928711499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158"/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22136.973224272024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465170.33025406249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23.051432840639475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24.268105363710649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56224.484499557751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50792.624928711499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para-Fluorofentanyl Results</v>
      </c>
      <c r="E22" s="95"/>
      <c r="F22" s="95"/>
      <c r="G22" s="95"/>
      <c r="H22" s="96"/>
      <c r="I22" s="20" t="str">
        <f>I60</f>
        <v>Qualifier (355.2 -&gt; 188.1) Method</v>
      </c>
      <c r="J22" s="94" t="str">
        <f>J60</f>
        <v>Qualifier (355.2 -&gt; 188.1) Results</v>
      </c>
      <c r="K22" s="96"/>
      <c r="L22" s="94" t="str">
        <f>L60</f>
        <v>Parafluorofentanyl-13C6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19" t="s">
        <v>47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89" t="s">
        <v>48</v>
      </c>
      <c r="R29" s="90"/>
      <c r="S29" s="90"/>
      <c r="T29" s="90"/>
      <c r="U29" s="90"/>
      <c r="V29" s="91"/>
      <c r="X29" s="5"/>
      <c r="Y29" s="5"/>
      <c r="Z29" s="5"/>
      <c r="AA29" s="5"/>
      <c r="AB29" s="5"/>
    </row>
    <row r="30" spans="1:39" ht="15.75" x14ac:dyDescent="0.25">
      <c r="A30" s="120" t="s">
        <v>49</v>
      </c>
      <c r="B30" s="121"/>
      <c r="C30" s="121"/>
      <c r="D30" s="121"/>
      <c r="E30" s="121"/>
      <c r="F30" s="121"/>
      <c r="G30" s="122"/>
      <c r="H30" s="121"/>
      <c r="I30" s="121"/>
      <c r="J30" s="121"/>
      <c r="K30" s="121"/>
      <c r="L30" s="121"/>
      <c r="M30" s="121"/>
      <c r="N30" s="121"/>
      <c r="O30" s="121"/>
      <c r="P30" s="121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15.75" x14ac:dyDescent="0.25">
      <c r="A31" s="123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30" customHeight="1" x14ac:dyDescent="0.25">
      <c r="A32" s="124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124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125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56224.484499557751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para-Fluorofentanyl Results</v>
      </c>
      <c r="E36" s="114"/>
      <c r="F36" s="114"/>
      <c r="G36" s="114"/>
      <c r="H36" s="114"/>
      <c r="I36" s="13" t="str">
        <f>I22</f>
        <v>Qualifier (355.2 -&gt; 188.1) Method</v>
      </c>
      <c r="J36" s="114" t="str">
        <f>J22</f>
        <v>Qualifier (355.2 -&gt; 188.1) Results</v>
      </c>
      <c r="K36" s="114"/>
      <c r="L36" s="114" t="str">
        <f>L22</f>
        <v>Parafluorofentanyl-13C6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117</v>
      </c>
      <c r="E60" s="16"/>
      <c r="F60" s="16"/>
      <c r="G60" s="16"/>
      <c r="H60" s="16"/>
      <c r="I60" s="16" t="s">
        <v>118</v>
      </c>
      <c r="J60" s="16" t="s">
        <v>119</v>
      </c>
      <c r="K60" s="16"/>
      <c r="L60" s="16" t="s">
        <v>120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80">
    <mergeCell ref="E32:F33"/>
    <mergeCell ref="A59:P59"/>
    <mergeCell ref="O40:P40"/>
    <mergeCell ref="O41:P41"/>
    <mergeCell ref="O42:P42"/>
    <mergeCell ref="O43:P43"/>
    <mergeCell ref="O44:P44"/>
    <mergeCell ref="O45:P45"/>
    <mergeCell ref="O46:P46"/>
    <mergeCell ref="O47:P47"/>
    <mergeCell ref="O39:P39"/>
    <mergeCell ref="D36:H36"/>
    <mergeCell ref="J36:K36"/>
    <mergeCell ref="L36:N36"/>
    <mergeCell ref="O37:P37"/>
    <mergeCell ref="O38:P38"/>
    <mergeCell ref="O22:P23"/>
    <mergeCell ref="O24:P27"/>
    <mergeCell ref="A29:P29"/>
    <mergeCell ref="A30:P30"/>
    <mergeCell ref="O31:P36"/>
    <mergeCell ref="A31:A34"/>
    <mergeCell ref="B31:B34"/>
    <mergeCell ref="C33:C34"/>
    <mergeCell ref="C31:D31"/>
    <mergeCell ref="M32:M33"/>
    <mergeCell ref="E34:F34"/>
    <mergeCell ref="E31:F31"/>
    <mergeCell ref="H32:H33"/>
    <mergeCell ref="I32:I33"/>
    <mergeCell ref="I31:K31"/>
    <mergeCell ref="J32:K33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Q29:V29"/>
    <mergeCell ref="A9:P9"/>
    <mergeCell ref="A15:P15"/>
    <mergeCell ref="A16:A20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D22:H22"/>
    <mergeCell ref="J22:K22"/>
    <mergeCell ref="L22:N2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160" priority="107" operator="greaterThan">
      <formula>$C$12</formula>
    </cfRule>
    <cfRule type="cellIs" dxfId="159" priority="103" operator="lessThan">
      <formula>$C$12</formula>
    </cfRule>
  </conditionalFormatting>
  <conditionalFormatting sqref="D13">
    <cfRule type="cellIs" dxfId="158" priority="106" operator="greaterThan">
      <formula>$C$13</formula>
    </cfRule>
    <cfRule type="cellIs" dxfId="157" priority="102" operator="lessThan">
      <formula>$C$13</formula>
    </cfRule>
  </conditionalFormatting>
  <conditionalFormatting sqref="D14 D20">
    <cfRule type="cellIs" dxfId="156" priority="105" operator="greaterThan">
      <formula>$C$14</formula>
    </cfRule>
    <cfRule type="cellIs" dxfId="155" priority="101" operator="lessThan">
      <formula>$C$14</formula>
    </cfRule>
  </conditionalFormatting>
  <conditionalFormatting sqref="D18">
    <cfRule type="cellIs" dxfId="154" priority="11" operator="lessThan">
      <formula>$C$12</formula>
    </cfRule>
    <cfRule type="cellIs" dxfId="153" priority="14" operator="greaterThan">
      <formula>$C$12</formula>
    </cfRule>
  </conditionalFormatting>
  <conditionalFormatting sqref="D19">
    <cfRule type="cellIs" dxfId="152" priority="13" operator="greaterThan">
      <formula>$C$13</formula>
    </cfRule>
    <cfRule type="cellIs" dxfId="151" priority="10" operator="lessThan">
      <formula>$C$13</formula>
    </cfRule>
  </conditionalFormatting>
  <conditionalFormatting sqref="D38:D57">
    <cfRule type="cellIs" dxfId="150" priority="147" operator="greaterThan">
      <formula>$D$34</formula>
    </cfRule>
    <cfRule type="cellIs" dxfId="149" priority="146" operator="lessThan">
      <formula>$D$33</formula>
    </cfRule>
    <cfRule type="cellIs" dxfId="148" priority="148" operator="between">
      <formula>$D$33</formula>
      <formula>$D$34</formula>
    </cfRule>
  </conditionalFormatting>
  <conditionalFormatting sqref="E38:E57">
    <cfRule type="cellIs" dxfId="147" priority="149" operator="lessThan">
      <formula>$E$34</formula>
    </cfRule>
    <cfRule type="cellIs" dxfId="146" priority="150" operator="greaterThan">
      <formula>$E$34</formula>
    </cfRule>
  </conditionalFormatting>
  <conditionalFormatting sqref="H12">
    <cfRule type="cellIs" dxfId="145" priority="104" operator="between">
      <formula>$G$13</formula>
      <formula>$G$14</formula>
    </cfRule>
    <cfRule type="cellIs" dxfId="144" priority="99" operator="lessThan">
      <formula>$G$14</formula>
    </cfRule>
    <cfRule type="cellIs" dxfId="143" priority="100" operator="greaterThan">
      <formula>$G$13</formula>
    </cfRule>
  </conditionalFormatting>
  <conditionalFormatting sqref="H18">
    <cfRule type="cellIs" dxfId="142" priority="8" operator="lessThan">
      <formula>$G$14</formula>
    </cfRule>
    <cfRule type="cellIs" dxfId="141" priority="9" operator="greaterThan">
      <formula>$G$13</formula>
    </cfRule>
    <cfRule type="cellIs" dxfId="140" priority="12" operator="between">
      <formula>$G$13</formula>
      <formula>$G$14</formula>
    </cfRule>
  </conditionalFormatting>
  <conditionalFormatting sqref="H38:H57">
    <cfRule type="cellIs" dxfId="139" priority="151" operator="lessThan">
      <formula>$H$34</formula>
    </cfRule>
    <cfRule type="cellIs" dxfId="138" priority="152" operator="greaterThan">
      <formula>$H$34</formula>
    </cfRule>
  </conditionalFormatting>
  <conditionalFormatting sqref="I38:I57">
    <cfRule type="cellIs" dxfId="137" priority="153" operator="lessThan">
      <formula>$I$34</formula>
    </cfRule>
    <cfRule type="cellIs" dxfId="136" priority="154" operator="greaterThan">
      <formula>$I$34</formula>
    </cfRule>
  </conditionalFormatting>
  <conditionalFormatting sqref="J38:J57">
    <cfRule type="cellIs" dxfId="135" priority="16" operator="lessThan">
      <formula>$J$34</formula>
    </cfRule>
    <cfRule type="cellIs" dxfId="134" priority="17" operator="greaterThan">
      <formula>$K$34</formula>
    </cfRule>
    <cfRule type="cellIs" dxfId="133" priority="18" operator="between">
      <formula>$J$34</formula>
      <formula>$K$34</formula>
    </cfRule>
  </conditionalFormatting>
  <conditionalFormatting sqref="L12">
    <cfRule type="cellIs" dxfId="132" priority="98" operator="greaterThan">
      <formula>$K$12</formula>
    </cfRule>
    <cfRule type="cellIs" dxfId="131" priority="97" operator="lessThan">
      <formula>$K$12</formula>
    </cfRule>
  </conditionalFormatting>
  <conditionalFormatting sqref="L13">
    <cfRule type="cellIs" dxfId="130" priority="96" operator="greaterThan">
      <formula>$K$13</formula>
    </cfRule>
    <cfRule type="cellIs" dxfId="129" priority="95" operator="lessThan">
      <formula>$K$13</formula>
    </cfRule>
  </conditionalFormatting>
  <conditionalFormatting sqref="L14 L20">
    <cfRule type="cellIs" dxfId="128" priority="93" operator="lessThan">
      <formula>$K$14</formula>
    </cfRule>
    <cfRule type="cellIs" dxfId="127" priority="94" operator="greaterThan">
      <formula>$K$14</formula>
    </cfRule>
  </conditionalFormatting>
  <conditionalFormatting sqref="L18">
    <cfRule type="cellIs" dxfId="126" priority="6" operator="lessThan">
      <formula>$K$12</formula>
    </cfRule>
    <cfRule type="cellIs" dxfId="125" priority="7" operator="greaterThan">
      <formula>$K$12</formula>
    </cfRule>
  </conditionalFormatting>
  <conditionalFormatting sqref="L19">
    <cfRule type="cellIs" dxfId="124" priority="5" operator="greaterThan">
      <formula>$K$13</formula>
    </cfRule>
    <cfRule type="cellIs" dxfId="123" priority="4" operator="lessThan">
      <formula>$K$13</formula>
    </cfRule>
  </conditionalFormatting>
  <conditionalFormatting sqref="M38:M57">
    <cfRule type="cellIs" dxfId="122" priority="155" operator="lessThan">
      <formula>$M$34</formula>
    </cfRule>
    <cfRule type="cellIs" dxfId="121" priority="156" operator="greaterThan">
      <formula>$M$34</formula>
    </cfRule>
  </conditionalFormatting>
  <conditionalFormatting sqref="O38:O57">
    <cfRule type="containsText" dxfId="120" priority="44" operator="containsText" text="Detect">
      <formula>NOT(ISERROR(SEARCH("Detect",O38)))</formula>
    </cfRule>
    <cfRule type="containsText" dxfId="119" priority="157" operator="containsText" text="ND">
      <formula>NOT(ISERROR(SEARCH("ND",O38)))</formula>
    </cfRule>
  </conditionalFormatting>
  <conditionalFormatting sqref="O38:P92">
    <cfRule type="expression" dxfId="118" priority="43">
      <formula>$O38="Detect with IS Supp"</formula>
    </cfRule>
  </conditionalFormatting>
  <conditionalFormatting sqref="P12">
    <cfRule type="cellIs" dxfId="117" priority="92" operator="between">
      <formula>$O$13</formula>
      <formula>$O$14</formula>
    </cfRule>
    <cfRule type="cellIs" dxfId="116" priority="91" operator="greaterThan">
      <formula>$O$13</formula>
    </cfRule>
    <cfRule type="cellIs" dxfId="115" priority="90" operator="lessThan">
      <formula>$O$14</formula>
    </cfRule>
  </conditionalFormatting>
  <conditionalFormatting sqref="P18">
    <cfRule type="cellIs" dxfId="114" priority="1" operator="lessThan">
      <formula>$O$14</formula>
    </cfRule>
    <cfRule type="cellIs" dxfId="113" priority="3" operator="between">
      <formula>$O$13</formula>
      <formula>$O$14</formula>
    </cfRule>
    <cfRule type="cellIs" dxfId="112" priority="2" operator="greaterThan">
      <formula>$O$13</formula>
    </cfRule>
  </conditionalFormatting>
  <conditionalFormatting sqref="Q38:U57">
    <cfRule type="containsText" dxfId="111" priority="40" operator="containsText" text="Y">
      <formula>NOT(ISERROR(SEARCH("Y",Q38)))</formula>
    </cfRule>
    <cfRule type="containsText" dxfId="110" priority="41" operator="containsText" text="N">
      <formula>NOT(ISERROR(SEARCH("N",Q38)))</formula>
    </cfRule>
  </conditionalFormatting>
  <conditionalFormatting sqref="V38:V57">
    <cfRule type="containsText" dxfId="109" priority="39" operator="containsText" text="Fail">
      <formula>NOT(ISERROR(SEARCH("Fail",V38)))</formula>
    </cfRule>
    <cfRule type="containsText" dxfId="108" priority="3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P92"/>
  <sheetViews>
    <sheetView topLeftCell="A31" workbookViewId="0">
      <selection activeCell="O38" sqref="O38:P57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85546875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15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49" t="str">
        <f>Codeine!J5</f>
        <v>Reviewer:</v>
      </c>
      <c r="K5" s="150"/>
      <c r="L5" s="151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72"/>
      <c r="B9" s="158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9779.5001433296493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220361.66085858125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32.1911670350175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32.72024169993125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27950.558539526752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26266.33870910425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72"/>
      <c r="B15" s="158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9779.5001433296493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220361.66085858125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32.1911670350175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32.72024169993125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27950.558539526752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26266.33870910425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Carfentanil Results</v>
      </c>
      <c r="E22" s="95"/>
      <c r="F22" s="95"/>
      <c r="G22" s="95"/>
      <c r="H22" s="96"/>
      <c r="I22" s="20" t="str">
        <f>I60</f>
        <v>Qualifier (395.2 -&gt; 335.2) Method</v>
      </c>
      <c r="J22" s="94" t="str">
        <f>J60</f>
        <v>Qualifier (395.2 -&gt; 335.2) Results</v>
      </c>
      <c r="K22" s="96"/>
      <c r="L22" s="94" t="str">
        <f>L60</f>
        <v>Carfentanil-13C6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59" t="s">
        <v>47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1"/>
      <c r="Q29" s="89" t="s">
        <v>48</v>
      </c>
      <c r="R29" s="90"/>
      <c r="S29" s="90"/>
      <c r="T29" s="90"/>
      <c r="U29" s="90"/>
      <c r="V29" s="91"/>
      <c r="X29" s="5"/>
      <c r="Y29" s="5"/>
      <c r="Z29" s="5"/>
      <c r="AA29" s="5"/>
      <c r="AB29" s="5"/>
    </row>
    <row r="30" spans="1:39" ht="69.75" customHeight="1" x14ac:dyDescent="0.25">
      <c r="A30" s="162" t="s">
        <v>49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30" x14ac:dyDescent="0.25">
      <c r="A31" s="65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30.75" customHeight="1" x14ac:dyDescent="0.25">
      <c r="A32" s="66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66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67"/>
      <c r="B34" s="128"/>
      <c r="C34" s="139"/>
      <c r="D34" s="31">
        <f>(D32+0.1)</f>
        <v>0.1</v>
      </c>
      <c r="E34" s="112">
        <f>E24</f>
        <v>0</v>
      </c>
      <c r="F34" s="113"/>
      <c r="G34" s="49"/>
      <c r="H34" s="53">
        <f>H24</f>
        <v>0</v>
      </c>
      <c r="I34" s="70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27950.558539526752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Carfentanil Results</v>
      </c>
      <c r="E36" s="114"/>
      <c r="F36" s="114"/>
      <c r="G36" s="114"/>
      <c r="H36" s="114"/>
      <c r="I36" s="13" t="str">
        <f>I22</f>
        <v>Qualifier (395.2 -&gt; 335.2) Method</v>
      </c>
      <c r="J36" s="114" t="str">
        <f>J22</f>
        <v>Qualifier (395.2 -&gt; 335.2) Results</v>
      </c>
      <c r="K36" s="114"/>
      <c r="L36" s="114" t="str">
        <f>L22</f>
        <v>Carfentanil-13C6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7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121</v>
      </c>
      <c r="E60" s="16"/>
      <c r="F60" s="16"/>
      <c r="G60" s="16"/>
      <c r="H60" s="16"/>
      <c r="I60" s="16" t="s">
        <v>122</v>
      </c>
      <c r="J60" s="16" t="s">
        <v>123</v>
      </c>
      <c r="K60" s="16"/>
      <c r="L60" s="16" t="s">
        <v>124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A59:P59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L22:N22"/>
    <mergeCell ref="O22:P23"/>
    <mergeCell ref="O24:P27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B9:P9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E34:F34"/>
    <mergeCell ref="D36:H36"/>
    <mergeCell ref="J36:K36"/>
    <mergeCell ref="L36:N36"/>
    <mergeCell ref="O44:P44"/>
    <mergeCell ref="O45:P45"/>
    <mergeCell ref="O46:P46"/>
    <mergeCell ref="O47:P47"/>
    <mergeCell ref="O37:P37"/>
    <mergeCell ref="O39:P39"/>
    <mergeCell ref="O40:P40"/>
    <mergeCell ref="O41:P41"/>
    <mergeCell ref="O42:P42"/>
    <mergeCell ref="O43:P43"/>
    <mergeCell ref="O38:P38"/>
    <mergeCell ref="A16:A20"/>
    <mergeCell ref="A30:P30"/>
    <mergeCell ref="Q29:V29"/>
    <mergeCell ref="A29:P29"/>
    <mergeCell ref="B15:P15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D22:H22"/>
    <mergeCell ref="J22:K2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107" priority="42" operator="greaterThan">
      <formula>$C$12</formula>
    </cfRule>
    <cfRule type="cellIs" dxfId="106" priority="38" operator="lessThan">
      <formula>$C$12</formula>
    </cfRule>
  </conditionalFormatting>
  <conditionalFormatting sqref="D13">
    <cfRule type="cellIs" dxfId="105" priority="41" operator="greaterThan">
      <formula>$C$13</formula>
    </cfRule>
    <cfRule type="cellIs" dxfId="104" priority="37" operator="lessThan">
      <formula>$C$13</formula>
    </cfRule>
  </conditionalFormatting>
  <conditionalFormatting sqref="D14 D20">
    <cfRule type="cellIs" dxfId="103" priority="40" operator="greaterThan">
      <formula>$C$14</formula>
    </cfRule>
    <cfRule type="cellIs" dxfId="102" priority="36" operator="lessThan">
      <formula>$C$14</formula>
    </cfRule>
  </conditionalFormatting>
  <conditionalFormatting sqref="D18">
    <cfRule type="cellIs" dxfId="101" priority="11" operator="lessThan">
      <formula>$C$12</formula>
    </cfRule>
    <cfRule type="cellIs" dxfId="100" priority="14" operator="greaterThan">
      <formula>$C$12</formula>
    </cfRule>
  </conditionalFormatting>
  <conditionalFormatting sqref="D19">
    <cfRule type="cellIs" dxfId="99" priority="13" operator="greaterThan">
      <formula>$C$13</formula>
    </cfRule>
    <cfRule type="cellIs" dxfId="98" priority="10" operator="lessThan">
      <formula>$C$13</formula>
    </cfRule>
  </conditionalFormatting>
  <conditionalFormatting sqref="D38:D57">
    <cfRule type="cellIs" dxfId="97" priority="44" operator="greaterThan">
      <formula>$D$34</formula>
    </cfRule>
    <cfRule type="cellIs" dxfId="96" priority="43" operator="lessThan">
      <formula>$D$33</formula>
    </cfRule>
    <cfRule type="cellIs" dxfId="95" priority="45" operator="between">
      <formula>$D$33</formula>
      <formula>$D$34</formula>
    </cfRule>
  </conditionalFormatting>
  <conditionalFormatting sqref="E38:E57">
    <cfRule type="cellIs" dxfId="94" priority="46" operator="lessThan">
      <formula>$E$34</formula>
    </cfRule>
    <cfRule type="cellIs" dxfId="93" priority="47" operator="greaterThan">
      <formula>$E$34</formula>
    </cfRule>
  </conditionalFormatting>
  <conditionalFormatting sqref="H12">
    <cfRule type="cellIs" dxfId="92" priority="39" operator="between">
      <formula>$G$13</formula>
      <formula>$G$14</formula>
    </cfRule>
    <cfRule type="cellIs" dxfId="91" priority="34" operator="lessThan">
      <formula>$G$14</formula>
    </cfRule>
    <cfRule type="cellIs" dxfId="90" priority="35" operator="greaterThan">
      <formula>$G$13</formula>
    </cfRule>
  </conditionalFormatting>
  <conditionalFormatting sqref="H18">
    <cfRule type="cellIs" dxfId="89" priority="8" operator="lessThan">
      <formula>$G$14</formula>
    </cfRule>
    <cfRule type="cellIs" dxfId="88" priority="9" operator="greaterThan">
      <formula>$G$13</formula>
    </cfRule>
    <cfRule type="cellIs" dxfId="87" priority="12" operator="between">
      <formula>$G$13</formula>
      <formula>$G$14</formula>
    </cfRule>
  </conditionalFormatting>
  <conditionalFormatting sqref="H38:H57">
    <cfRule type="cellIs" dxfId="86" priority="48" operator="lessThan">
      <formula>$H$34</formula>
    </cfRule>
    <cfRule type="cellIs" dxfId="85" priority="49" operator="greaterThan">
      <formula>$H$34</formula>
    </cfRule>
  </conditionalFormatting>
  <conditionalFormatting sqref="I38:I57">
    <cfRule type="cellIs" dxfId="84" priority="50" operator="lessThan">
      <formula>$I$34</formula>
    </cfRule>
    <cfRule type="cellIs" dxfId="83" priority="51" operator="greaterThan">
      <formula>$I$34</formula>
    </cfRule>
  </conditionalFormatting>
  <conditionalFormatting sqref="J38:J57">
    <cfRule type="cellIs" dxfId="82" priority="15" operator="lessThan">
      <formula>$J$34</formula>
    </cfRule>
    <cfRule type="cellIs" dxfId="81" priority="16" operator="greaterThan">
      <formula>$K$34</formula>
    </cfRule>
    <cfRule type="cellIs" dxfId="80" priority="17" operator="between">
      <formula>$J$34</formula>
      <formula>$K$34</formula>
    </cfRule>
  </conditionalFormatting>
  <conditionalFormatting sqref="L12">
    <cfRule type="cellIs" dxfId="79" priority="33" operator="greaterThan">
      <formula>$K$12</formula>
    </cfRule>
    <cfRule type="cellIs" dxfId="78" priority="32" operator="lessThan">
      <formula>$K$12</formula>
    </cfRule>
  </conditionalFormatting>
  <conditionalFormatting sqref="L13">
    <cfRule type="cellIs" dxfId="77" priority="31" operator="greaterThan">
      <formula>$K$13</formula>
    </cfRule>
    <cfRule type="cellIs" dxfId="76" priority="30" operator="lessThan">
      <formula>$K$13</formula>
    </cfRule>
  </conditionalFormatting>
  <conditionalFormatting sqref="L14 L20">
    <cfRule type="cellIs" dxfId="75" priority="28" operator="lessThan">
      <formula>$K$14</formula>
    </cfRule>
    <cfRule type="cellIs" dxfId="74" priority="29" operator="greaterThan">
      <formula>$K$14</formula>
    </cfRule>
  </conditionalFormatting>
  <conditionalFormatting sqref="L18">
    <cfRule type="cellIs" dxfId="73" priority="6" operator="lessThan">
      <formula>$K$12</formula>
    </cfRule>
    <cfRule type="cellIs" dxfId="72" priority="7" operator="greaterThan">
      <formula>$K$12</formula>
    </cfRule>
  </conditionalFormatting>
  <conditionalFormatting sqref="L19">
    <cfRule type="cellIs" dxfId="71" priority="5" operator="greaterThan">
      <formula>$K$13</formula>
    </cfRule>
    <cfRule type="cellIs" dxfId="70" priority="4" operator="lessThan">
      <formula>$K$13</formula>
    </cfRule>
  </conditionalFormatting>
  <conditionalFormatting sqref="M38:M57">
    <cfRule type="cellIs" dxfId="69" priority="52" operator="lessThan">
      <formula>$M$34</formula>
    </cfRule>
    <cfRule type="cellIs" dxfId="68" priority="53" operator="greaterThan">
      <formula>$M$34</formula>
    </cfRule>
  </conditionalFormatting>
  <conditionalFormatting sqref="O38:O57">
    <cfRule type="containsText" dxfId="67" priority="24" operator="containsText" text="Detect">
      <formula>NOT(ISERROR(SEARCH("Detect",O38)))</formula>
    </cfRule>
    <cfRule type="containsText" dxfId="66" priority="54" operator="containsText" text="ND">
      <formula>NOT(ISERROR(SEARCH("ND",O38)))</formula>
    </cfRule>
  </conditionalFormatting>
  <conditionalFormatting sqref="O38:P92">
    <cfRule type="expression" dxfId="65" priority="23">
      <formula>$O38="Detect with IS Supp"</formula>
    </cfRule>
  </conditionalFormatting>
  <conditionalFormatting sqref="P12">
    <cfRule type="cellIs" dxfId="64" priority="27" operator="between">
      <formula>$O$13</formula>
      <formula>$O$14</formula>
    </cfRule>
    <cfRule type="cellIs" dxfId="63" priority="26" operator="greaterThan">
      <formula>$O$13</formula>
    </cfRule>
    <cfRule type="cellIs" dxfId="62" priority="25" operator="lessThan">
      <formula>$O$14</formula>
    </cfRule>
  </conditionalFormatting>
  <conditionalFormatting sqref="P18">
    <cfRule type="cellIs" dxfId="61" priority="1" operator="lessThan">
      <formula>$O$14</formula>
    </cfRule>
    <cfRule type="cellIs" dxfId="60" priority="3" operator="between">
      <formula>$O$13</formula>
      <formula>$O$14</formula>
    </cfRule>
    <cfRule type="cellIs" dxfId="59" priority="2" operator="greaterThan">
      <formula>$O$13</formula>
    </cfRule>
  </conditionalFormatting>
  <conditionalFormatting sqref="Q38:U57">
    <cfRule type="containsText" dxfId="58" priority="20" operator="containsText" text="Y">
      <formula>NOT(ISERROR(SEARCH("Y",Q38)))</formula>
    </cfRule>
    <cfRule type="containsText" dxfId="57" priority="21" operator="containsText" text="N">
      <formula>NOT(ISERROR(SEARCH("N",Q38)))</formula>
    </cfRule>
  </conditionalFormatting>
  <conditionalFormatting sqref="V38:V57">
    <cfRule type="containsText" dxfId="56" priority="19" operator="containsText" text="Fail">
      <formula>NOT(ISERROR(SEARCH("Fail",V38)))</formula>
    </cfRule>
    <cfRule type="containsText" dxfId="55" priority="18" operator="containsText" text="Pass">
      <formula>NOT(ISERROR(SEARCH("Pass",V38)))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P92"/>
  <sheetViews>
    <sheetView tabSelected="1" workbookViewId="0">
      <selection activeCell="M54" sqref="M54"/>
    </sheetView>
  </sheetViews>
  <sheetFormatPr defaultRowHeight="15" x14ac:dyDescent="0.25"/>
  <cols>
    <col min="1" max="1" width="17.42578125" customWidth="1"/>
    <col min="2" max="2" width="16.7109375" customWidth="1"/>
    <col min="3" max="3" width="14.7109375" customWidth="1"/>
    <col min="7" max="7" width="12.5703125" customWidth="1"/>
    <col min="8" max="8" width="13.42578125" customWidth="1"/>
    <col min="9" max="9" width="13.28515625" customWidth="1"/>
    <col min="13" max="13" width="10.140625" customWidth="1"/>
    <col min="14" max="14" width="10" customWidth="1"/>
    <col min="15" max="15" width="11.140625" customWidth="1"/>
    <col min="16" max="16" width="10.85546875" customWidth="1"/>
    <col min="17" max="21" width="13.42578125" customWidth="1"/>
    <col min="22" max="22" width="14.5703125" customWidth="1"/>
    <col min="23" max="24" width="16.85546875" customWidth="1"/>
    <col min="25" max="25" width="18.5703125" customWidth="1"/>
  </cols>
  <sheetData>
    <row r="1" spans="1:39" ht="15" customHeight="1" x14ac:dyDescent="0.25">
      <c r="A1" s="143" t="s">
        <v>16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5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9" ht="15" customHeight="1" x14ac:dyDescent="0.2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8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9" ht="7.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9" ht="22.5" customHeight="1" x14ac:dyDescent="0.25">
      <c r="A4" s="149" t="str">
        <f>Codeine!A4</f>
        <v>Method/SOP</v>
      </c>
      <c r="B4" s="150"/>
      <c r="C4" s="151"/>
      <c r="D4" s="149" t="str">
        <f>Codeine!D4</f>
        <v xml:space="preserve"> Column Lot #: </v>
      </c>
      <c r="E4" s="150"/>
      <c r="F4" s="150"/>
      <c r="G4" s="151"/>
      <c r="H4" s="149" t="str">
        <f>Codeine!H4</f>
        <v xml:space="preserve">Urine Lot #: </v>
      </c>
      <c r="I4" s="151"/>
      <c r="J4" s="149" t="str">
        <f>Codeine!J4</f>
        <v xml:space="preserve">Standards Date: </v>
      </c>
      <c r="K4" s="150"/>
      <c r="L4" s="151"/>
      <c r="M4" s="152"/>
      <c r="N4" s="153"/>
      <c r="O4" s="153"/>
      <c r="P4" s="15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9" ht="22.5" customHeight="1" x14ac:dyDescent="0.25">
      <c r="A5" s="149" t="str">
        <f>Codeine!A5</f>
        <v xml:space="preserve">Batch ID: </v>
      </c>
      <c r="B5" s="150"/>
      <c r="C5" s="151"/>
      <c r="D5" s="149" t="str">
        <f>Codeine!D5</f>
        <v xml:space="preserve">Instrument: </v>
      </c>
      <c r="E5" s="150"/>
      <c r="F5" s="150"/>
      <c r="G5" s="151"/>
      <c r="H5" s="149" t="str">
        <f>Codeine!H5</f>
        <v xml:space="preserve">Analyst: </v>
      </c>
      <c r="I5" s="151"/>
      <c r="J5" s="149" t="str">
        <f>Codeine!J5</f>
        <v>Reviewer:</v>
      </c>
      <c r="K5" s="150"/>
      <c r="L5" s="151"/>
      <c r="M5" s="155"/>
      <c r="N5" s="156"/>
      <c r="O5" s="156"/>
      <c r="P5" s="157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9" ht="6.75" customHeight="1" x14ac:dyDescent="0.25">
      <c r="A6" s="23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39" ht="15.75" x14ac:dyDescent="0.25">
      <c r="A7" s="140" t="s">
        <v>19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</row>
    <row r="8" spans="1:39" s="40" customFormat="1" ht="23.25" customHeight="1" x14ac:dyDescent="0.25">
      <c r="A8" s="142" t="s">
        <v>20</v>
      </c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38"/>
      <c r="R8" s="38"/>
      <c r="S8" s="38"/>
      <c r="T8" s="38"/>
      <c r="U8" s="38"/>
      <c r="V8" s="38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</row>
    <row r="9" spans="1:39" s="40" customFormat="1" ht="23.25" customHeight="1" x14ac:dyDescent="0.25">
      <c r="A9" s="72"/>
      <c r="B9" s="158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8"/>
      <c r="Q9" s="38"/>
      <c r="R9" s="38"/>
      <c r="S9" s="38"/>
      <c r="T9" s="38"/>
      <c r="U9" s="38"/>
      <c r="V9" s="38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</row>
    <row r="10" spans="1:39" ht="15.75" customHeight="1" x14ac:dyDescent="0.25">
      <c r="A10" s="101" t="s">
        <v>22</v>
      </c>
      <c r="B10" s="104" t="s">
        <v>23</v>
      </c>
      <c r="C10" s="104"/>
      <c r="D10" s="104"/>
      <c r="E10" s="104"/>
      <c r="F10" s="105" t="s">
        <v>24</v>
      </c>
      <c r="G10" s="105"/>
      <c r="H10" s="105"/>
      <c r="I10" s="105" t="s">
        <v>25</v>
      </c>
      <c r="J10" s="104" t="s">
        <v>23</v>
      </c>
      <c r="K10" s="104"/>
      <c r="L10" s="104"/>
      <c r="M10" s="104"/>
      <c r="N10" s="105" t="s">
        <v>24</v>
      </c>
      <c r="O10" s="105"/>
      <c r="P10" s="105"/>
    </row>
    <row r="11" spans="1:39" ht="15" customHeight="1" x14ac:dyDescent="0.25">
      <c r="A11" s="102"/>
      <c r="B11" s="92" t="s">
        <v>26</v>
      </c>
      <c r="C11" s="92"/>
      <c r="D11" s="10" t="s">
        <v>27</v>
      </c>
      <c r="E11" s="10" t="s">
        <v>28</v>
      </c>
      <c r="F11" s="93" t="s">
        <v>29</v>
      </c>
      <c r="G11" s="93"/>
      <c r="H11" s="10" t="s">
        <v>27</v>
      </c>
      <c r="I11" s="105"/>
      <c r="J11" s="92" t="s">
        <v>26</v>
      </c>
      <c r="K11" s="92"/>
      <c r="L11" s="10" t="s">
        <v>27</v>
      </c>
      <c r="M11" s="10" t="s">
        <v>28</v>
      </c>
      <c r="N11" s="93" t="s">
        <v>29</v>
      </c>
      <c r="O11" s="93"/>
      <c r="P11" s="10" t="s">
        <v>27</v>
      </c>
    </row>
    <row r="12" spans="1:39" ht="15" customHeight="1" x14ac:dyDescent="0.25">
      <c r="A12" s="102"/>
      <c r="B12" s="1" t="s">
        <v>30</v>
      </c>
      <c r="C12" s="61">
        <v>699.29880367957753</v>
      </c>
      <c r="D12" s="11">
        <f>E24</f>
        <v>0</v>
      </c>
      <c r="E12" s="22" t="str">
        <f>IF(D12&gt;C12,"PASS","FAIL")</f>
        <v>FAIL</v>
      </c>
      <c r="F12" s="1" t="s">
        <v>31</v>
      </c>
      <c r="G12" s="3">
        <f>$D$24</f>
        <v>0</v>
      </c>
      <c r="H12" s="11">
        <f>D24</f>
        <v>0</v>
      </c>
      <c r="I12" s="105"/>
      <c r="J12" s="2" t="s">
        <v>30</v>
      </c>
      <c r="K12" s="61">
        <v>17220.680021826502</v>
      </c>
      <c r="L12" s="11">
        <f>E25</f>
        <v>0</v>
      </c>
      <c r="M12" s="22" t="str">
        <f>IF(L12&gt;K12,"PASS","FAIL")</f>
        <v>FAIL</v>
      </c>
      <c r="N12" s="1" t="s">
        <v>31</v>
      </c>
      <c r="O12" s="3">
        <f>$D$24</f>
        <v>0</v>
      </c>
      <c r="P12" s="11">
        <f>D25</f>
        <v>0</v>
      </c>
    </row>
    <row r="13" spans="1:39" ht="15" customHeight="1" x14ac:dyDescent="0.25">
      <c r="A13" s="102"/>
      <c r="B13" s="1" t="s">
        <v>32</v>
      </c>
      <c r="C13" s="62">
        <v>8.7551228253632996</v>
      </c>
      <c r="D13" s="11">
        <f>J24</f>
        <v>0</v>
      </c>
      <c r="E13" s="22" t="str">
        <f>IF(D13&gt;C13,"PASS","FAIL")</f>
        <v>FAIL</v>
      </c>
      <c r="F13" s="1">
        <v>0.1</v>
      </c>
      <c r="G13" s="3">
        <f>G12+0.1</f>
        <v>0.1</v>
      </c>
      <c r="H13" s="10" t="s">
        <v>28</v>
      </c>
      <c r="I13" s="105"/>
      <c r="J13" s="1" t="s">
        <v>32</v>
      </c>
      <c r="K13" s="62">
        <v>9.6062402713746504</v>
      </c>
      <c r="L13" s="11">
        <f>J25</f>
        <v>0</v>
      </c>
      <c r="M13" s="22" t="str">
        <f>IF(L13&gt;K13,"PASS","FAIL")</f>
        <v>FAIL</v>
      </c>
      <c r="N13" s="1">
        <v>0.1</v>
      </c>
      <c r="O13" s="3">
        <f>O12+0.1</f>
        <v>0.1</v>
      </c>
      <c r="P13" s="10" t="s">
        <v>28</v>
      </c>
    </row>
    <row r="14" spans="1:39" ht="15" customHeight="1" x14ac:dyDescent="0.25">
      <c r="A14" s="103"/>
      <c r="B14" s="1" t="s">
        <v>33</v>
      </c>
      <c r="C14" s="61">
        <v>1528.5566052311674</v>
      </c>
      <c r="D14" s="11">
        <f>M24</f>
        <v>0</v>
      </c>
      <c r="E14" s="22" t="str">
        <f>IF(D14&gt;C14,"PASS","FAIL")</f>
        <v>FAIL</v>
      </c>
      <c r="F14" s="1">
        <v>-0.1</v>
      </c>
      <c r="G14" s="3">
        <f>G12-0.1</f>
        <v>-0.1</v>
      </c>
      <c r="H14" s="44" t="str">
        <f>IF(AND(H12&gt;G14,H12&lt;G13),"PASS","FAIL")</f>
        <v>PASS</v>
      </c>
      <c r="I14" s="105"/>
      <c r="J14" s="1" t="s">
        <v>33</v>
      </c>
      <c r="K14" s="61">
        <v>1616.1347072467574</v>
      </c>
      <c r="L14" s="11">
        <f>M25</f>
        <v>0</v>
      </c>
      <c r="M14" s="22" t="str">
        <f>IF(L14&gt;K14,"PASS","FAIL")</f>
        <v>FAIL</v>
      </c>
      <c r="N14" s="1">
        <v>-0.1</v>
      </c>
      <c r="O14" s="3">
        <f>O12-0.1</f>
        <v>-0.1</v>
      </c>
      <c r="P14" s="44" t="str">
        <f>IF(AND(P12&gt;O14,P12&lt;O13),"PASS","FAIL")</f>
        <v>PASS</v>
      </c>
    </row>
    <row r="15" spans="1:39" ht="7.5" customHeight="1" x14ac:dyDescent="0.25">
      <c r="A15" s="72"/>
      <c r="B15" s="158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8"/>
      <c r="Q15" s="8"/>
      <c r="V15" s="7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s="18" customFormat="1" ht="15.75" x14ac:dyDescent="0.25">
      <c r="A16" s="101" t="s">
        <v>22</v>
      </c>
      <c r="B16" s="104" t="s">
        <v>23</v>
      </c>
      <c r="C16" s="104"/>
      <c r="D16" s="104"/>
      <c r="E16" s="104"/>
      <c r="F16" s="105" t="s">
        <v>24</v>
      </c>
      <c r="G16" s="105"/>
      <c r="H16" s="105"/>
      <c r="I16" s="105" t="s">
        <v>25</v>
      </c>
      <c r="J16" s="104" t="s">
        <v>23</v>
      </c>
      <c r="K16" s="104"/>
      <c r="L16" s="104"/>
      <c r="M16" s="104"/>
      <c r="N16" s="105" t="s">
        <v>24</v>
      </c>
      <c r="O16" s="105"/>
      <c r="P16" s="105"/>
      <c r="Q16" s="17"/>
      <c r="R16"/>
      <c r="S16"/>
      <c r="T16"/>
      <c r="U16"/>
      <c r="Y16" s="17"/>
      <c r="Z16" s="17"/>
      <c r="AA16" s="17"/>
      <c r="AB16" s="17"/>
      <c r="AC16" s="17"/>
      <c r="AD16" s="17"/>
      <c r="AE16" s="17"/>
      <c r="AF16" s="17"/>
      <c r="AG16" s="17"/>
      <c r="AH16" s="17"/>
    </row>
    <row r="17" spans="1:39" x14ac:dyDescent="0.25">
      <c r="A17" s="102"/>
      <c r="B17" s="92" t="s">
        <v>26</v>
      </c>
      <c r="C17" s="92"/>
      <c r="D17" s="10" t="s">
        <v>27</v>
      </c>
      <c r="E17" s="10" t="s">
        <v>28</v>
      </c>
      <c r="F17" s="93" t="s">
        <v>29</v>
      </c>
      <c r="G17" s="93"/>
      <c r="H17" s="10" t="s">
        <v>27</v>
      </c>
      <c r="I17" s="105"/>
      <c r="J17" s="92" t="s">
        <v>26</v>
      </c>
      <c r="K17" s="92"/>
      <c r="L17" s="10" t="s">
        <v>27</v>
      </c>
      <c r="M17" s="10" t="s">
        <v>28</v>
      </c>
      <c r="N17" s="93" t="s">
        <v>29</v>
      </c>
      <c r="O17" s="93"/>
      <c r="P17" s="10" t="s">
        <v>27</v>
      </c>
      <c r="Q17" s="5"/>
      <c r="R17" s="5"/>
      <c r="S17" s="5"/>
      <c r="T17" s="5"/>
      <c r="U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 spans="1:39" ht="15" customHeight="1" x14ac:dyDescent="0.25">
      <c r="A18" s="102"/>
      <c r="B18" s="1" t="s">
        <v>30</v>
      </c>
      <c r="C18" s="61">
        <v>699.29880367957753</v>
      </c>
      <c r="D18" s="11">
        <f>E26</f>
        <v>0</v>
      </c>
      <c r="E18" s="22" t="str">
        <f>IF(D18&gt;C18,"PASS","FAIL")</f>
        <v>FAIL</v>
      </c>
      <c r="F18" s="1" t="s">
        <v>31</v>
      </c>
      <c r="G18" s="3">
        <f>$D$24</f>
        <v>0</v>
      </c>
      <c r="H18" s="11">
        <f>D26</f>
        <v>0</v>
      </c>
      <c r="I18" s="105"/>
      <c r="J18" s="2" t="s">
        <v>30</v>
      </c>
      <c r="K18" s="61">
        <v>17220.680021826502</v>
      </c>
      <c r="L18" s="11">
        <f>E27</f>
        <v>0</v>
      </c>
      <c r="M18" s="22" t="str">
        <f>IF(L18&gt;K18,"PASS","FAIL")</f>
        <v>FAIL</v>
      </c>
      <c r="N18" s="1" t="s">
        <v>31</v>
      </c>
      <c r="O18" s="3">
        <f>$D$24</f>
        <v>0</v>
      </c>
      <c r="P18" s="11">
        <f>D27</f>
        <v>0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 ht="15" customHeight="1" x14ac:dyDescent="0.25">
      <c r="A19" s="102"/>
      <c r="B19" s="1" t="s">
        <v>32</v>
      </c>
      <c r="C19" s="62">
        <v>8.7551228253632996</v>
      </c>
      <c r="D19" s="11">
        <f>J26</f>
        <v>0</v>
      </c>
      <c r="E19" s="22" t="str">
        <f>IF(D19&gt;C19,"PASS","FAIL")</f>
        <v>FAIL</v>
      </c>
      <c r="F19" s="1">
        <v>0.1</v>
      </c>
      <c r="G19" s="3">
        <f>G18+0.1</f>
        <v>0.1</v>
      </c>
      <c r="H19" s="10" t="s">
        <v>28</v>
      </c>
      <c r="I19" s="105"/>
      <c r="J19" s="1" t="s">
        <v>32</v>
      </c>
      <c r="K19" s="62">
        <v>9.6062402713746504</v>
      </c>
      <c r="L19" s="11">
        <f>J27</f>
        <v>0</v>
      </c>
      <c r="M19" s="22" t="str">
        <f>IF(L19&gt;K19,"PASS","FAIL")</f>
        <v>FAIL</v>
      </c>
      <c r="N19" s="1">
        <v>0.1</v>
      </c>
      <c r="O19" s="3">
        <f>O18+0.1</f>
        <v>0.1</v>
      </c>
      <c r="P19" s="10" t="s">
        <v>28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 ht="15" customHeight="1" x14ac:dyDescent="0.25">
      <c r="A20" s="103"/>
      <c r="B20" s="1" t="s">
        <v>33</v>
      </c>
      <c r="C20" s="61">
        <v>1528.5566052311674</v>
      </c>
      <c r="D20" s="11">
        <f>M26</f>
        <v>0</v>
      </c>
      <c r="E20" s="22" t="str">
        <f>IF(D20&gt;C20,"PASS","FAIL")</f>
        <v>FAIL</v>
      </c>
      <c r="F20" s="1">
        <v>-0.1</v>
      </c>
      <c r="G20" s="3">
        <f>G18-0.1</f>
        <v>-0.1</v>
      </c>
      <c r="H20" s="44" t="str">
        <f>IF(AND(H18&gt;G20,H18&lt;G19),"PASS","FAIL")</f>
        <v>PASS</v>
      </c>
      <c r="I20" s="105"/>
      <c r="J20" s="1" t="s">
        <v>33</v>
      </c>
      <c r="K20" s="61">
        <v>1616.1347072467574</v>
      </c>
      <c r="L20" s="11">
        <f>M27</f>
        <v>0</v>
      </c>
      <c r="M20" s="22" t="str">
        <f>IF(L20&gt;K20,"PASS","FAIL")</f>
        <v>FAIL</v>
      </c>
      <c r="N20" s="1">
        <v>-0.1</v>
      </c>
      <c r="O20" s="3">
        <f>O18-0.1</f>
        <v>-0.1</v>
      </c>
      <c r="P20" s="44" t="str">
        <f>IF(AND(P18&gt;O20,P18&lt;O19),"PASS","FAIL")</f>
        <v>PASS</v>
      </c>
      <c r="V20" s="6"/>
      <c r="W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 spans="1:39" ht="1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</row>
    <row r="22" spans="1:39" ht="60" x14ac:dyDescent="0.25">
      <c r="A22" s="20" t="s">
        <v>35</v>
      </c>
      <c r="B22" s="19"/>
      <c r="C22" s="19"/>
      <c r="D22" s="94" t="str">
        <f>D60</f>
        <v>Lorazepam Results</v>
      </c>
      <c r="E22" s="95"/>
      <c r="F22" s="95"/>
      <c r="G22" s="95"/>
      <c r="H22" s="96"/>
      <c r="I22" s="20" t="str">
        <f>I60</f>
        <v>Qualifier (321.0 -&gt; 229.0) Method</v>
      </c>
      <c r="J22" s="94" t="str">
        <f>J60</f>
        <v>Qualifier (321.0 -&gt; 229.0) Results</v>
      </c>
      <c r="K22" s="96"/>
      <c r="L22" s="94" t="str">
        <f>L60</f>
        <v>Lorazepam 13C2D4 (ISTD) Results</v>
      </c>
      <c r="M22" s="95"/>
      <c r="N22" s="96"/>
      <c r="O22" s="97"/>
      <c r="P22" s="98"/>
      <c r="AA22" s="5"/>
      <c r="AB22" s="5"/>
      <c r="AC22" s="5"/>
    </row>
    <row r="23" spans="1:39" ht="15.75" customHeight="1" x14ac:dyDescent="0.25">
      <c r="A23" s="10" t="s">
        <v>0</v>
      </c>
      <c r="B23" s="10" t="s">
        <v>1</v>
      </c>
      <c r="C23" s="10" t="s">
        <v>2</v>
      </c>
      <c r="D23" s="10" t="s">
        <v>36</v>
      </c>
      <c r="E23" s="10" t="s">
        <v>37</v>
      </c>
      <c r="F23" s="10" t="s">
        <v>38</v>
      </c>
      <c r="G23" s="10" t="s">
        <v>39</v>
      </c>
      <c r="H23" s="10" t="s">
        <v>40</v>
      </c>
      <c r="I23" s="10" t="s">
        <v>41</v>
      </c>
      <c r="J23" s="10" t="s">
        <v>42</v>
      </c>
      <c r="K23" s="10" t="s">
        <v>38</v>
      </c>
      <c r="L23" s="10" t="s">
        <v>36</v>
      </c>
      <c r="M23" s="10" t="s">
        <v>37</v>
      </c>
      <c r="N23" s="10" t="s">
        <v>39</v>
      </c>
      <c r="O23" s="99"/>
      <c r="P23" s="100"/>
      <c r="X23" s="5"/>
      <c r="Y23" s="5"/>
      <c r="Z23" s="5"/>
      <c r="AA23" s="5"/>
      <c r="AB23" s="5"/>
      <c r="AC23" s="5"/>
      <c r="AD23" s="5"/>
    </row>
    <row r="24" spans="1:39" s="40" customFormat="1" ht="15.75" x14ac:dyDescent="0.25">
      <c r="A24" s="35" t="s">
        <v>43</v>
      </c>
      <c r="B24" s="14"/>
      <c r="C24" s="29"/>
      <c r="D24" s="14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65"/>
      <c r="P24" s="166"/>
      <c r="X24" s="39"/>
      <c r="Y24" s="39"/>
      <c r="Z24" s="39"/>
      <c r="AA24" s="39"/>
      <c r="AB24" s="39"/>
      <c r="AC24" s="39"/>
      <c r="AD24" s="39"/>
    </row>
    <row r="25" spans="1:39" ht="15" customHeight="1" x14ac:dyDescent="0.25">
      <c r="A25" s="35" t="s">
        <v>44</v>
      </c>
      <c r="B25" s="14"/>
      <c r="C25" s="29"/>
      <c r="D25" s="14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67"/>
      <c r="P25" s="168"/>
      <c r="X25" s="5"/>
      <c r="Y25" s="5"/>
      <c r="Z25" s="5"/>
      <c r="AA25" s="5"/>
      <c r="AB25" s="5"/>
      <c r="AC25" s="5"/>
      <c r="AD25" s="5"/>
    </row>
    <row r="26" spans="1:39" ht="15" customHeight="1" x14ac:dyDescent="0.25">
      <c r="A26" s="35" t="s">
        <v>45</v>
      </c>
      <c r="B26" s="14"/>
      <c r="C26" s="29"/>
      <c r="D26" s="14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67"/>
      <c r="P26" s="168"/>
      <c r="X26" s="5"/>
      <c r="Y26" s="5"/>
      <c r="Z26" s="5"/>
      <c r="AA26" s="5"/>
      <c r="AB26" s="5"/>
      <c r="AC26" s="5"/>
      <c r="AD26" s="5"/>
    </row>
    <row r="27" spans="1:39" ht="15" customHeight="1" x14ac:dyDescent="0.25">
      <c r="A27" s="35" t="s">
        <v>46</v>
      </c>
      <c r="B27" s="14"/>
      <c r="C27" s="29"/>
      <c r="D27" s="14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69"/>
      <c r="P27" s="170"/>
      <c r="X27" s="5"/>
      <c r="Y27" s="5"/>
      <c r="Z27" s="5"/>
      <c r="AA27" s="5"/>
      <c r="AB27" s="5"/>
      <c r="AC27" s="5"/>
      <c r="AD27" s="5"/>
    </row>
    <row r="28" spans="1:39" ht="15" customHeight="1" x14ac:dyDescent="0.25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34"/>
      <c r="P28" s="34"/>
      <c r="Q28" s="25"/>
      <c r="R28" s="25"/>
      <c r="S28" s="25"/>
      <c r="T28" s="25"/>
      <c r="U28" s="25"/>
      <c r="V28" s="25"/>
      <c r="X28" s="5"/>
      <c r="Y28" s="5"/>
      <c r="Z28" s="5"/>
      <c r="AA28" s="5"/>
      <c r="AB28" s="5"/>
      <c r="AC28" s="5"/>
      <c r="AD28" s="5"/>
    </row>
    <row r="29" spans="1:39" ht="15.75" x14ac:dyDescent="0.25">
      <c r="A29" s="159" t="s">
        <v>47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1"/>
      <c r="Q29" s="89" t="s">
        <v>48</v>
      </c>
      <c r="R29" s="90"/>
      <c r="S29" s="90"/>
      <c r="T29" s="90"/>
      <c r="U29" s="90"/>
      <c r="V29" s="91"/>
      <c r="X29" s="5"/>
      <c r="Y29" s="5"/>
      <c r="Z29" s="5"/>
      <c r="AA29" s="5"/>
      <c r="AB29" s="5"/>
    </row>
    <row r="30" spans="1:39" ht="56.25" customHeight="1" x14ac:dyDescent="0.25">
      <c r="A30" s="162" t="s">
        <v>49</v>
      </c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4"/>
      <c r="Q30" s="41"/>
      <c r="R30" s="42"/>
      <c r="S30" s="42"/>
      <c r="T30" s="42"/>
      <c r="U30" s="42"/>
      <c r="V30" s="42"/>
      <c r="X30" s="5"/>
      <c r="Y30" s="5"/>
      <c r="Z30" s="5"/>
      <c r="AA30" s="5"/>
      <c r="AB30" s="5"/>
      <c r="AC30" s="5"/>
      <c r="AD30" s="5"/>
      <c r="AE30" s="5"/>
    </row>
    <row r="31" spans="1:39" ht="30" x14ac:dyDescent="0.25">
      <c r="A31" s="65" t="s">
        <v>50</v>
      </c>
      <c r="B31" s="126" t="s">
        <v>51</v>
      </c>
      <c r="C31" s="129" t="s">
        <v>52</v>
      </c>
      <c r="D31" s="129"/>
      <c r="E31" s="129" t="s">
        <v>53</v>
      </c>
      <c r="F31" s="130"/>
      <c r="G31" s="54"/>
      <c r="H31" s="60" t="s">
        <v>54</v>
      </c>
      <c r="I31" s="131" t="s">
        <v>55</v>
      </c>
      <c r="J31" s="131"/>
      <c r="K31" s="131"/>
      <c r="L31" s="55"/>
      <c r="M31" s="59" t="s">
        <v>56</v>
      </c>
      <c r="N31" s="56"/>
      <c r="O31" s="132" t="s">
        <v>57</v>
      </c>
      <c r="P31" s="133"/>
      <c r="Q31" s="45"/>
      <c r="R31" s="45"/>
      <c r="S31" s="45"/>
      <c r="T31" s="45"/>
      <c r="U31" s="45"/>
      <c r="V31" s="45"/>
    </row>
    <row r="32" spans="1:39" ht="29.25" customHeight="1" x14ac:dyDescent="0.25">
      <c r="A32" s="66"/>
      <c r="B32" s="127"/>
      <c r="C32" s="51" t="s">
        <v>77</v>
      </c>
      <c r="D32" s="30">
        <f>$D$24</f>
        <v>0</v>
      </c>
      <c r="E32" s="114" t="s">
        <v>59</v>
      </c>
      <c r="F32" s="136"/>
      <c r="G32" s="52"/>
      <c r="H32" s="137" t="s">
        <v>60</v>
      </c>
      <c r="I32" s="114"/>
      <c r="J32" s="138" t="s">
        <v>61</v>
      </c>
      <c r="K32" s="138"/>
      <c r="L32" s="55"/>
      <c r="M32" s="114" t="s">
        <v>62</v>
      </c>
      <c r="N32" s="56"/>
      <c r="O32" s="132"/>
      <c r="P32" s="133"/>
      <c r="Q32" s="45"/>
      <c r="R32" s="45"/>
      <c r="S32" s="45"/>
      <c r="T32" s="45"/>
      <c r="U32" s="45"/>
      <c r="V32" s="4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42" ht="15.75" x14ac:dyDescent="0.25">
      <c r="A33" s="66"/>
      <c r="B33" s="127"/>
      <c r="C33" s="139" t="s">
        <v>63</v>
      </c>
      <c r="D33" s="11">
        <f>D32-0.1</f>
        <v>-0.1</v>
      </c>
      <c r="E33" s="114"/>
      <c r="F33" s="136"/>
      <c r="G33" s="52"/>
      <c r="H33" s="137"/>
      <c r="I33" s="114"/>
      <c r="J33" s="138"/>
      <c r="K33" s="138"/>
      <c r="L33" s="55"/>
      <c r="M33" s="114"/>
      <c r="N33" s="56"/>
      <c r="O33" s="132"/>
      <c r="P33" s="133"/>
      <c r="Q33" s="45"/>
      <c r="R33" s="45"/>
      <c r="S33" s="45"/>
      <c r="T33" s="45"/>
      <c r="U33" s="45"/>
      <c r="V33" s="4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42" ht="15.75" x14ac:dyDescent="0.25">
      <c r="A34" s="67"/>
      <c r="B34" s="128"/>
      <c r="C34" s="139"/>
      <c r="D34" s="31">
        <f>(D32+0.1)</f>
        <v>0.1</v>
      </c>
      <c r="E34" s="176">
        <f>E24</f>
        <v>0</v>
      </c>
      <c r="F34" s="177"/>
      <c r="G34" s="49"/>
      <c r="H34" s="53">
        <f>H24</f>
        <v>0</v>
      </c>
      <c r="I34" s="69"/>
      <c r="J34" s="47" t="e">
        <f>AVERAGE(J24,J25)*0.8</f>
        <v>#DIV/0!</v>
      </c>
      <c r="K34" s="47" t="e">
        <f>AVERAGE(J24,J25)*1.2</f>
        <v>#DIV/0!</v>
      </c>
      <c r="L34" s="57"/>
      <c r="M34" s="61">
        <f>C14</f>
        <v>1528.5566052311674</v>
      </c>
      <c r="N34" s="58"/>
      <c r="O34" s="132"/>
      <c r="P34" s="133"/>
      <c r="Q34" s="45"/>
      <c r="R34" s="45"/>
      <c r="S34" s="45"/>
      <c r="T34" s="45"/>
      <c r="U34" s="45"/>
      <c r="V34" s="4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42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132"/>
      <c r="P35" s="133"/>
      <c r="Q35" s="45"/>
      <c r="R35" s="45"/>
      <c r="S35" s="45"/>
      <c r="T35" s="45"/>
      <c r="U35" s="45"/>
      <c r="V35" s="4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42" ht="60" x14ac:dyDescent="0.25">
      <c r="A36" s="13" t="s">
        <v>35</v>
      </c>
      <c r="B36" s="27"/>
      <c r="C36" s="27"/>
      <c r="D36" s="114" t="str">
        <f>D22</f>
        <v>Lorazepam Results</v>
      </c>
      <c r="E36" s="114"/>
      <c r="F36" s="114"/>
      <c r="G36" s="114"/>
      <c r="H36" s="114"/>
      <c r="I36" s="13" t="str">
        <f>I22</f>
        <v>Qualifier (321.0 -&gt; 229.0) Method</v>
      </c>
      <c r="J36" s="114" t="str">
        <f>J22</f>
        <v>Qualifier (321.0 -&gt; 229.0) Results</v>
      </c>
      <c r="K36" s="114"/>
      <c r="L36" s="114" t="str">
        <f>L22</f>
        <v>Lorazepam 13C2D4 (ISTD) Results</v>
      </c>
      <c r="M36" s="114"/>
      <c r="N36" s="114"/>
      <c r="O36" s="134"/>
      <c r="P36" s="135"/>
      <c r="Q36" s="46"/>
      <c r="R36" s="46"/>
      <c r="S36" s="46"/>
      <c r="T36" s="46"/>
      <c r="U36" s="46"/>
      <c r="V36" s="46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42" ht="30" x14ac:dyDescent="0.25">
      <c r="A37" s="12" t="s">
        <v>0</v>
      </c>
      <c r="B37" s="12" t="s">
        <v>1</v>
      </c>
      <c r="C37" s="12" t="s">
        <v>2</v>
      </c>
      <c r="D37" s="12" t="s">
        <v>36</v>
      </c>
      <c r="E37" s="12" t="s">
        <v>37</v>
      </c>
      <c r="F37" s="12" t="s">
        <v>38</v>
      </c>
      <c r="G37" s="12" t="s">
        <v>39</v>
      </c>
      <c r="H37" s="12" t="s">
        <v>40</v>
      </c>
      <c r="I37" s="13" t="s">
        <v>64</v>
      </c>
      <c r="J37" s="12" t="s">
        <v>42</v>
      </c>
      <c r="K37" s="12" t="s">
        <v>38</v>
      </c>
      <c r="L37" s="12" t="s">
        <v>36</v>
      </c>
      <c r="M37" s="12" t="s">
        <v>37</v>
      </c>
      <c r="N37" s="12" t="s">
        <v>39</v>
      </c>
      <c r="O37" s="117" t="s">
        <v>65</v>
      </c>
      <c r="P37" s="118"/>
      <c r="Q37" s="32" t="s">
        <v>66</v>
      </c>
      <c r="R37" s="32" t="s">
        <v>67</v>
      </c>
      <c r="S37" s="32" t="s">
        <v>68</v>
      </c>
      <c r="T37" s="33" t="s">
        <v>69</v>
      </c>
      <c r="U37" s="33" t="s">
        <v>70</v>
      </c>
      <c r="V37" s="32" t="s">
        <v>71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42" x14ac:dyDescent="0.25">
      <c r="A38" s="14"/>
      <c r="B38" s="14"/>
      <c r="C38" s="48"/>
      <c r="D38" s="28"/>
      <c r="E38" s="28"/>
      <c r="F38" s="14"/>
      <c r="G38" s="14"/>
      <c r="H38" s="37"/>
      <c r="I38" s="28"/>
      <c r="J38" s="28"/>
      <c r="K38" s="14"/>
      <c r="L38" s="14"/>
      <c r="M38" s="28"/>
      <c r="N38" s="14"/>
      <c r="O38" s="115" t="e">
        <f t="shared" ref="O38:O46" si="0">IF(V38="PASS","DETECT",IF(AND(Q38="Y",R38="Y",S38="N",T38="Y",U38="Y"),"Detect with IS Supp","ND"))</f>
        <v>#DIV/0!</v>
      </c>
      <c r="P38" s="116"/>
      <c r="Q38" s="21" t="str">
        <f t="shared" ref="Q38:Q47" si="1">IF(AND(D38&lt;($D$32+0.1),D38&gt;($D$32-0.1)),"Y","N")</f>
        <v>Y</v>
      </c>
      <c r="R38" s="21" t="str">
        <f t="shared" ref="R38:R47" si="2">IF(E38&gt;$E$34,"Y","N")</f>
        <v>N</v>
      </c>
      <c r="S38" s="21" t="str">
        <f t="shared" ref="S38:S47" si="3">IF(M38&gt;$M$34,"Y","N")</f>
        <v>N</v>
      </c>
      <c r="T38" s="21" t="str">
        <f t="shared" ref="T38:T47" si="4">IF(H38&gt;$H$34,"Y","N")</f>
        <v>N</v>
      </c>
      <c r="U38" s="21" t="e">
        <f>IF(AND(J38&gt;=$J$34, J38&lt;=$K$34), "Y","N")</f>
        <v>#DIV/0!</v>
      </c>
      <c r="V38" s="21" t="e">
        <f>IF(AND(Q38="Y",R38="Y",S38="Y",T38="Y",U38="Y"), "PASS","FAIL")</f>
        <v>#DIV/0!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42" x14ac:dyDescent="0.25">
      <c r="A39" s="14"/>
      <c r="B39" s="14"/>
      <c r="C39" s="48"/>
      <c r="D39" s="28"/>
      <c r="E39" s="28"/>
      <c r="F39" s="14"/>
      <c r="G39" s="14"/>
      <c r="H39" s="37"/>
      <c r="I39" s="28"/>
      <c r="J39" s="28"/>
      <c r="K39" s="14"/>
      <c r="L39" s="14"/>
      <c r="M39" s="28"/>
      <c r="N39" s="14"/>
      <c r="O39" s="115" t="e">
        <f t="shared" ref="O39:O57" si="5">IF(V39="PASS","DETECT",IF(AND(Q39="Y",R39="Y",S39="N",T39="Y",U39="Y"),"Detect with IS Supp","ND"))</f>
        <v>#DIV/0!</v>
      </c>
      <c r="P39" s="116"/>
      <c r="Q39" s="21" t="str">
        <f t="shared" si="1"/>
        <v>Y</v>
      </c>
      <c r="R39" s="21" t="str">
        <f t="shared" si="2"/>
        <v>N</v>
      </c>
      <c r="S39" s="21" t="str">
        <f t="shared" si="3"/>
        <v>N</v>
      </c>
      <c r="T39" s="21" t="str">
        <f t="shared" si="4"/>
        <v>N</v>
      </c>
      <c r="U39" s="21" t="e">
        <f t="shared" ref="U39:U57" si="6">IF(AND(J39&gt;=$J$34, J39&lt;=$K$34), "Y","N")</f>
        <v>#DIV/0!</v>
      </c>
      <c r="V39" s="21" t="e">
        <f t="shared" ref="V39:V47" si="7">IF(AND(Q39="Y",R39="Y",S39="Y",T39="Y",U39="Y"), "PASS","FAIL")</f>
        <v>#DIV/0!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42" x14ac:dyDescent="0.25">
      <c r="A40" s="14"/>
      <c r="B40" s="14"/>
      <c r="C40" s="48"/>
      <c r="D40" s="28"/>
      <c r="E40" s="28"/>
      <c r="F40" s="14"/>
      <c r="G40" s="14"/>
      <c r="H40" s="37"/>
      <c r="I40" s="28"/>
      <c r="J40" s="28"/>
      <c r="K40" s="14"/>
      <c r="L40" s="14"/>
      <c r="M40" s="28"/>
      <c r="N40" s="14"/>
      <c r="O40" s="115" t="e">
        <f t="shared" si="5"/>
        <v>#DIV/0!</v>
      </c>
      <c r="P40" s="116"/>
      <c r="Q40" s="21" t="str">
        <f t="shared" si="1"/>
        <v>Y</v>
      </c>
      <c r="R40" s="21" t="str">
        <f t="shared" si="2"/>
        <v>N</v>
      </c>
      <c r="S40" s="21" t="str">
        <f t="shared" si="3"/>
        <v>N</v>
      </c>
      <c r="T40" s="21" t="str">
        <f t="shared" si="4"/>
        <v>N</v>
      </c>
      <c r="U40" s="21" t="e">
        <f t="shared" si="6"/>
        <v>#DIV/0!</v>
      </c>
      <c r="V40" s="21" t="e">
        <f t="shared" si="7"/>
        <v>#DIV/0!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42" x14ac:dyDescent="0.25">
      <c r="A41" s="14"/>
      <c r="B41" s="14"/>
      <c r="C41" s="48"/>
      <c r="D41" s="28"/>
      <c r="E41" s="28"/>
      <c r="F41" s="14"/>
      <c r="G41" s="14"/>
      <c r="H41" s="37"/>
      <c r="I41" s="28"/>
      <c r="J41" s="28"/>
      <c r="K41" s="14"/>
      <c r="L41" s="14"/>
      <c r="M41" s="28"/>
      <c r="N41" s="14"/>
      <c r="O41" s="115" t="e">
        <f t="shared" si="5"/>
        <v>#DIV/0!</v>
      </c>
      <c r="P41" s="116"/>
      <c r="Q41" s="21" t="str">
        <f t="shared" si="1"/>
        <v>Y</v>
      </c>
      <c r="R41" s="21" t="str">
        <f t="shared" si="2"/>
        <v>N</v>
      </c>
      <c r="S41" s="21" t="str">
        <f t="shared" si="3"/>
        <v>N</v>
      </c>
      <c r="T41" s="21" t="str">
        <f t="shared" si="4"/>
        <v>N</v>
      </c>
      <c r="U41" s="21" t="e">
        <f t="shared" si="6"/>
        <v>#DIV/0!</v>
      </c>
      <c r="V41" s="21" t="e">
        <f t="shared" si="7"/>
        <v>#DIV/0!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42" x14ac:dyDescent="0.25">
      <c r="A42" s="14"/>
      <c r="B42" s="14"/>
      <c r="C42" s="48"/>
      <c r="D42" s="28"/>
      <c r="E42" s="28"/>
      <c r="F42" s="14"/>
      <c r="G42" s="14"/>
      <c r="H42" s="37"/>
      <c r="I42" s="28"/>
      <c r="J42" s="28"/>
      <c r="K42" s="14"/>
      <c r="L42" s="14"/>
      <c r="M42" s="28"/>
      <c r="N42" s="14"/>
      <c r="O42" s="115" t="e">
        <f t="shared" si="5"/>
        <v>#DIV/0!</v>
      </c>
      <c r="P42" s="116"/>
      <c r="Q42" s="21" t="str">
        <f t="shared" si="1"/>
        <v>Y</v>
      </c>
      <c r="R42" s="21" t="str">
        <f t="shared" si="2"/>
        <v>N</v>
      </c>
      <c r="S42" s="21" t="str">
        <f t="shared" si="3"/>
        <v>N</v>
      </c>
      <c r="T42" s="21" t="str">
        <f t="shared" si="4"/>
        <v>N</v>
      </c>
      <c r="U42" s="21" t="e">
        <f t="shared" si="6"/>
        <v>#DIV/0!</v>
      </c>
      <c r="V42" s="21" t="e">
        <f t="shared" si="7"/>
        <v>#DIV/0!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x14ac:dyDescent="0.25">
      <c r="A43" s="14"/>
      <c r="B43" s="14"/>
      <c r="C43" s="48"/>
      <c r="D43" s="28"/>
      <c r="E43" s="28"/>
      <c r="F43" s="14"/>
      <c r="G43" s="14"/>
      <c r="H43" s="37"/>
      <c r="I43" s="28"/>
      <c r="J43" s="28"/>
      <c r="K43" s="14"/>
      <c r="L43" s="14"/>
      <c r="M43" s="28"/>
      <c r="N43" s="14"/>
      <c r="O43" s="115" t="e">
        <f t="shared" si="5"/>
        <v>#DIV/0!</v>
      </c>
      <c r="P43" s="116"/>
      <c r="Q43" s="21" t="str">
        <f t="shared" si="1"/>
        <v>Y</v>
      </c>
      <c r="R43" s="21" t="str">
        <f t="shared" si="2"/>
        <v>N</v>
      </c>
      <c r="S43" s="21" t="str">
        <f t="shared" si="3"/>
        <v>N</v>
      </c>
      <c r="T43" s="21" t="str">
        <f t="shared" si="4"/>
        <v>N</v>
      </c>
      <c r="U43" s="21" t="e">
        <f t="shared" si="6"/>
        <v>#DIV/0!</v>
      </c>
      <c r="V43" s="21" t="e">
        <f t="shared" si="7"/>
        <v>#DIV/0!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</row>
    <row r="44" spans="1:42" ht="15" customHeight="1" x14ac:dyDescent="0.25">
      <c r="A44" s="14"/>
      <c r="B44" s="14"/>
      <c r="C44" s="48"/>
      <c r="D44" s="28"/>
      <c r="E44" s="28"/>
      <c r="F44" s="14"/>
      <c r="G44" s="14"/>
      <c r="H44" s="37"/>
      <c r="I44" s="28"/>
      <c r="J44" s="28"/>
      <c r="K44" s="14"/>
      <c r="L44" s="14"/>
      <c r="M44" s="28"/>
      <c r="N44" s="14"/>
      <c r="O44" s="115" t="e">
        <f t="shared" si="5"/>
        <v>#DIV/0!</v>
      </c>
      <c r="P44" s="116"/>
      <c r="Q44" s="21" t="str">
        <f t="shared" si="1"/>
        <v>Y</v>
      </c>
      <c r="R44" s="21" t="str">
        <f t="shared" si="2"/>
        <v>N</v>
      </c>
      <c r="S44" s="21" t="str">
        <f t="shared" si="3"/>
        <v>N</v>
      </c>
      <c r="T44" s="21" t="str">
        <f t="shared" si="4"/>
        <v>N</v>
      </c>
      <c r="U44" s="21" t="e">
        <f t="shared" si="6"/>
        <v>#DIV/0!</v>
      </c>
      <c r="V44" s="21" t="e">
        <f t="shared" si="7"/>
        <v>#DIV/0!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</row>
    <row r="45" spans="1:42" x14ac:dyDescent="0.25">
      <c r="A45" s="14"/>
      <c r="B45" s="14"/>
      <c r="C45" s="48"/>
      <c r="D45" s="28"/>
      <c r="E45" s="28"/>
      <c r="F45" s="14"/>
      <c r="G45" s="14"/>
      <c r="H45" s="37"/>
      <c r="I45" s="28"/>
      <c r="J45" s="28"/>
      <c r="K45" s="14"/>
      <c r="L45" s="14"/>
      <c r="M45" s="28"/>
      <c r="N45" s="14"/>
      <c r="O45" s="115" t="e">
        <f t="shared" si="5"/>
        <v>#DIV/0!</v>
      </c>
      <c r="P45" s="116"/>
      <c r="Q45" s="21" t="str">
        <f t="shared" si="1"/>
        <v>Y</v>
      </c>
      <c r="R45" s="21" t="str">
        <f t="shared" si="2"/>
        <v>N</v>
      </c>
      <c r="S45" s="21" t="str">
        <f t="shared" si="3"/>
        <v>N</v>
      </c>
      <c r="T45" s="21" t="str">
        <f t="shared" si="4"/>
        <v>N</v>
      </c>
      <c r="U45" s="21" t="e">
        <f t="shared" si="6"/>
        <v>#DIV/0!</v>
      </c>
      <c r="V45" s="21" t="e">
        <f t="shared" si="7"/>
        <v>#DIV/0!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</row>
    <row r="46" spans="1:42" x14ac:dyDescent="0.25">
      <c r="A46" s="14"/>
      <c r="B46" s="14"/>
      <c r="C46" s="48"/>
      <c r="D46" s="28"/>
      <c r="E46" s="28"/>
      <c r="F46" s="14"/>
      <c r="G46" s="14"/>
      <c r="H46" s="37"/>
      <c r="I46" s="28"/>
      <c r="J46" s="28"/>
      <c r="K46" s="14"/>
      <c r="L46" s="14"/>
      <c r="M46" s="28"/>
      <c r="N46" s="14"/>
      <c r="O46" s="115" t="e">
        <f t="shared" si="5"/>
        <v>#DIV/0!</v>
      </c>
      <c r="P46" s="116"/>
      <c r="Q46" s="21" t="str">
        <f t="shared" si="1"/>
        <v>Y</v>
      </c>
      <c r="R46" s="21" t="str">
        <f t="shared" si="2"/>
        <v>N</v>
      </c>
      <c r="S46" s="21" t="str">
        <f t="shared" si="3"/>
        <v>N</v>
      </c>
      <c r="T46" s="21" t="str">
        <f t="shared" si="4"/>
        <v>N</v>
      </c>
      <c r="U46" s="21" t="e">
        <f t="shared" si="6"/>
        <v>#DIV/0!</v>
      </c>
      <c r="V46" s="21" t="e">
        <f t="shared" si="7"/>
        <v>#DIV/0!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</row>
    <row r="47" spans="1:42" x14ac:dyDescent="0.25">
      <c r="A47" s="14"/>
      <c r="B47" s="14"/>
      <c r="C47" s="48"/>
      <c r="D47" s="28"/>
      <c r="E47" s="28"/>
      <c r="F47" s="14"/>
      <c r="G47" s="14"/>
      <c r="H47" s="37"/>
      <c r="I47" s="28"/>
      <c r="J47" s="28"/>
      <c r="K47" s="14"/>
      <c r="L47" s="14"/>
      <c r="M47" s="28"/>
      <c r="N47" s="14"/>
      <c r="O47" s="115" t="e">
        <f t="shared" si="5"/>
        <v>#DIV/0!</v>
      </c>
      <c r="P47" s="116"/>
      <c r="Q47" s="21" t="str">
        <f t="shared" si="1"/>
        <v>Y</v>
      </c>
      <c r="R47" s="21" t="str">
        <f t="shared" si="2"/>
        <v>N</v>
      </c>
      <c r="S47" s="21" t="str">
        <f t="shared" si="3"/>
        <v>N</v>
      </c>
      <c r="T47" s="21" t="str">
        <f t="shared" si="4"/>
        <v>N</v>
      </c>
      <c r="U47" s="21" t="e">
        <f t="shared" si="6"/>
        <v>#DIV/0!</v>
      </c>
      <c r="V47" s="21" t="e">
        <f t="shared" si="7"/>
        <v>#DIV/0!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</row>
    <row r="48" spans="1:42" x14ac:dyDescent="0.25">
      <c r="A48" s="14"/>
      <c r="B48" s="14"/>
      <c r="C48" s="48"/>
      <c r="D48" s="28"/>
      <c r="E48" s="28"/>
      <c r="F48" s="14"/>
      <c r="G48" s="14"/>
      <c r="H48" s="37"/>
      <c r="I48" s="28"/>
      <c r="J48" s="28"/>
      <c r="K48" s="14"/>
      <c r="L48" s="14"/>
      <c r="M48" s="28"/>
      <c r="N48" s="14"/>
      <c r="O48" s="115" t="e">
        <f t="shared" si="5"/>
        <v>#DIV/0!</v>
      </c>
      <c r="P48" s="116"/>
      <c r="Q48" s="21" t="str">
        <f t="shared" ref="Q48:Q57" si="8">IF(AND(D48&lt;($D$32+0.1),D48&gt;($D$32-0.1)),"Y","N")</f>
        <v>Y</v>
      </c>
      <c r="R48" s="21" t="str">
        <f t="shared" ref="R48:R57" si="9">IF(E48&gt;$E$34,"Y","N")</f>
        <v>N</v>
      </c>
      <c r="S48" s="21" t="str">
        <f t="shared" ref="S48:S57" si="10">IF(M48&gt;$M$34,"Y","N")</f>
        <v>N</v>
      </c>
      <c r="T48" s="21" t="str">
        <f t="shared" ref="T48:T57" si="11">IF(H48&gt;$H$34,"Y","N")</f>
        <v>N</v>
      </c>
      <c r="U48" s="21" t="e">
        <f t="shared" si="6"/>
        <v>#DIV/0!</v>
      </c>
      <c r="V48" s="21" t="e">
        <f>IF(AND(Q48="Y",R48="Y",S48="Y",T48="Y",U48="Y"), "PASS","FAIL")</f>
        <v>#DIV/0!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42" x14ac:dyDescent="0.25">
      <c r="A49" s="14"/>
      <c r="B49" s="14"/>
      <c r="C49" s="48"/>
      <c r="D49" s="28"/>
      <c r="E49" s="28"/>
      <c r="F49" s="14"/>
      <c r="G49" s="14"/>
      <c r="H49" s="37"/>
      <c r="I49" s="28"/>
      <c r="J49" s="28"/>
      <c r="K49" s="14"/>
      <c r="L49" s="14"/>
      <c r="M49" s="28"/>
      <c r="N49" s="14"/>
      <c r="O49" s="115" t="e">
        <f t="shared" si="5"/>
        <v>#DIV/0!</v>
      </c>
      <c r="P49" s="116"/>
      <c r="Q49" s="21" t="str">
        <f t="shared" si="8"/>
        <v>Y</v>
      </c>
      <c r="R49" s="21" t="str">
        <f t="shared" si="9"/>
        <v>N</v>
      </c>
      <c r="S49" s="21" t="str">
        <f t="shared" si="10"/>
        <v>N</v>
      </c>
      <c r="T49" s="21" t="str">
        <f t="shared" si="11"/>
        <v>N</v>
      </c>
      <c r="U49" s="21" t="e">
        <f t="shared" si="6"/>
        <v>#DIV/0!</v>
      </c>
      <c r="V49" s="21" t="e">
        <f t="shared" ref="V49:V57" si="12">IF(AND(Q49="Y",R49="Y",S49="Y",T49="Y",U49="Y"), "PASS","FAIL")</f>
        <v>#DIV/0!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42" x14ac:dyDescent="0.25">
      <c r="A50" s="14"/>
      <c r="B50" s="14"/>
      <c r="C50" s="48"/>
      <c r="D50" s="28"/>
      <c r="E50" s="28"/>
      <c r="F50" s="14"/>
      <c r="G50" s="14"/>
      <c r="H50" s="37"/>
      <c r="I50" s="28"/>
      <c r="J50" s="28"/>
      <c r="K50" s="14"/>
      <c r="L50" s="14"/>
      <c r="M50" s="28"/>
      <c r="N50" s="14"/>
      <c r="O50" s="115" t="e">
        <f t="shared" si="5"/>
        <v>#DIV/0!</v>
      </c>
      <c r="P50" s="116"/>
      <c r="Q50" s="21" t="str">
        <f t="shared" si="8"/>
        <v>Y</v>
      </c>
      <c r="R50" s="21" t="str">
        <f t="shared" si="9"/>
        <v>N</v>
      </c>
      <c r="S50" s="21" t="str">
        <f t="shared" si="10"/>
        <v>N</v>
      </c>
      <c r="T50" s="21" t="str">
        <f t="shared" si="11"/>
        <v>N</v>
      </c>
      <c r="U50" s="21" t="e">
        <f t="shared" si="6"/>
        <v>#DIV/0!</v>
      </c>
      <c r="V50" s="21" t="e">
        <f t="shared" si="12"/>
        <v>#DIV/0!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42" x14ac:dyDescent="0.25">
      <c r="A51" s="14"/>
      <c r="B51" s="14"/>
      <c r="C51" s="48"/>
      <c r="D51" s="28"/>
      <c r="E51" s="28"/>
      <c r="F51" s="14"/>
      <c r="G51" s="14"/>
      <c r="H51" s="37"/>
      <c r="I51" s="28"/>
      <c r="J51" s="28"/>
      <c r="K51" s="14"/>
      <c r="L51" s="14"/>
      <c r="M51" s="28"/>
      <c r="N51" s="14"/>
      <c r="O51" s="115" t="e">
        <f t="shared" si="5"/>
        <v>#DIV/0!</v>
      </c>
      <c r="P51" s="116"/>
      <c r="Q51" s="21" t="str">
        <f t="shared" si="8"/>
        <v>Y</v>
      </c>
      <c r="R51" s="21" t="str">
        <f t="shared" si="9"/>
        <v>N</v>
      </c>
      <c r="S51" s="21" t="str">
        <f t="shared" si="10"/>
        <v>N</v>
      </c>
      <c r="T51" s="21" t="str">
        <f t="shared" si="11"/>
        <v>N</v>
      </c>
      <c r="U51" s="21" t="e">
        <f t="shared" si="6"/>
        <v>#DIV/0!</v>
      </c>
      <c r="V51" s="21" t="e">
        <f t="shared" si="12"/>
        <v>#DIV/0!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42" x14ac:dyDescent="0.25">
      <c r="A52" s="14"/>
      <c r="B52" s="14"/>
      <c r="C52" s="48"/>
      <c r="D52" s="28"/>
      <c r="E52" s="28"/>
      <c r="F52" s="14"/>
      <c r="G52" s="14"/>
      <c r="H52" s="37"/>
      <c r="I52" s="28"/>
      <c r="J52" s="28"/>
      <c r="K52" s="14"/>
      <c r="L52" s="14"/>
      <c r="M52" s="28"/>
      <c r="N52" s="14"/>
      <c r="O52" s="115" t="e">
        <f t="shared" si="5"/>
        <v>#DIV/0!</v>
      </c>
      <c r="P52" s="116"/>
      <c r="Q52" s="21" t="str">
        <f t="shared" si="8"/>
        <v>Y</v>
      </c>
      <c r="R52" s="21" t="str">
        <f t="shared" si="9"/>
        <v>N</v>
      </c>
      <c r="S52" s="21" t="str">
        <f t="shared" si="10"/>
        <v>N</v>
      </c>
      <c r="T52" s="21" t="str">
        <f t="shared" si="11"/>
        <v>N</v>
      </c>
      <c r="U52" s="21" t="e">
        <f t="shared" si="6"/>
        <v>#DIV/0!</v>
      </c>
      <c r="V52" s="21" t="e">
        <f t="shared" si="12"/>
        <v>#DIV/0!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x14ac:dyDescent="0.25">
      <c r="A53" s="14"/>
      <c r="B53" s="14"/>
      <c r="C53" s="48"/>
      <c r="D53" s="28"/>
      <c r="E53" s="28"/>
      <c r="F53" s="14"/>
      <c r="G53" s="14"/>
      <c r="H53" s="37"/>
      <c r="I53" s="28"/>
      <c r="J53" s="28"/>
      <c r="K53" s="14"/>
      <c r="L53" s="14"/>
      <c r="M53" s="28"/>
      <c r="N53" s="14"/>
      <c r="O53" s="115" t="e">
        <f t="shared" si="5"/>
        <v>#DIV/0!</v>
      </c>
      <c r="P53" s="116"/>
      <c r="Q53" s="21" t="str">
        <f t="shared" si="8"/>
        <v>Y</v>
      </c>
      <c r="R53" s="21" t="str">
        <f t="shared" si="9"/>
        <v>N</v>
      </c>
      <c r="S53" s="21" t="str">
        <f t="shared" si="10"/>
        <v>N</v>
      </c>
      <c r="T53" s="21" t="str">
        <f t="shared" si="11"/>
        <v>N</v>
      </c>
      <c r="U53" s="21" t="e">
        <f t="shared" si="6"/>
        <v>#DIV/0!</v>
      </c>
      <c r="V53" s="21" t="e">
        <f t="shared" si="12"/>
        <v>#DIV/0!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</row>
    <row r="54" spans="1:42" ht="15" customHeight="1" x14ac:dyDescent="0.25">
      <c r="A54" s="14"/>
      <c r="B54" s="14"/>
      <c r="C54" s="48"/>
      <c r="D54" s="28"/>
      <c r="E54" s="28"/>
      <c r="F54" s="14"/>
      <c r="G54" s="14"/>
      <c r="H54" s="37"/>
      <c r="I54" s="28"/>
      <c r="J54" s="28"/>
      <c r="K54" s="14"/>
      <c r="L54" s="14"/>
      <c r="M54" s="28"/>
      <c r="N54" s="14"/>
      <c r="O54" s="115" t="e">
        <f t="shared" si="5"/>
        <v>#DIV/0!</v>
      </c>
      <c r="P54" s="116"/>
      <c r="Q54" s="21" t="str">
        <f t="shared" si="8"/>
        <v>Y</v>
      </c>
      <c r="R54" s="21" t="str">
        <f t="shared" si="9"/>
        <v>N</v>
      </c>
      <c r="S54" s="21" t="str">
        <f t="shared" si="10"/>
        <v>N</v>
      </c>
      <c r="T54" s="21" t="str">
        <f t="shared" si="11"/>
        <v>N</v>
      </c>
      <c r="U54" s="21" t="e">
        <f t="shared" si="6"/>
        <v>#DIV/0!</v>
      </c>
      <c r="V54" s="21" t="e">
        <f t="shared" si="12"/>
        <v>#DIV/0!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</row>
    <row r="55" spans="1:42" x14ac:dyDescent="0.25">
      <c r="A55" s="14"/>
      <c r="B55" s="14"/>
      <c r="C55" s="48"/>
      <c r="D55" s="28"/>
      <c r="E55" s="28"/>
      <c r="F55" s="14"/>
      <c r="G55" s="14"/>
      <c r="H55" s="37"/>
      <c r="I55" s="28"/>
      <c r="J55" s="28"/>
      <c r="K55" s="14"/>
      <c r="L55" s="14"/>
      <c r="M55" s="28"/>
      <c r="N55" s="14"/>
      <c r="O55" s="115" t="e">
        <f t="shared" si="5"/>
        <v>#DIV/0!</v>
      </c>
      <c r="P55" s="116"/>
      <c r="Q55" s="21" t="str">
        <f t="shared" si="8"/>
        <v>Y</v>
      </c>
      <c r="R55" s="21" t="str">
        <f t="shared" si="9"/>
        <v>N</v>
      </c>
      <c r="S55" s="21" t="str">
        <f t="shared" si="10"/>
        <v>N</v>
      </c>
      <c r="T55" s="21" t="str">
        <f t="shared" si="11"/>
        <v>N</v>
      </c>
      <c r="U55" s="21" t="e">
        <f t="shared" si="6"/>
        <v>#DIV/0!</v>
      </c>
      <c r="V55" s="21" t="e">
        <f t="shared" si="12"/>
        <v>#DIV/0!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</row>
    <row r="56" spans="1:42" x14ac:dyDescent="0.25">
      <c r="A56" s="14"/>
      <c r="B56" s="14"/>
      <c r="C56" s="48"/>
      <c r="D56" s="28"/>
      <c r="E56" s="28"/>
      <c r="F56" s="14"/>
      <c r="G56" s="14"/>
      <c r="H56" s="37"/>
      <c r="I56" s="28"/>
      <c r="J56" s="28"/>
      <c r="K56" s="14"/>
      <c r="L56" s="14"/>
      <c r="M56" s="28"/>
      <c r="N56" s="14"/>
      <c r="O56" s="115" t="e">
        <f t="shared" si="5"/>
        <v>#DIV/0!</v>
      </c>
      <c r="P56" s="116"/>
      <c r="Q56" s="21" t="str">
        <f t="shared" si="8"/>
        <v>Y</v>
      </c>
      <c r="R56" s="21" t="str">
        <f t="shared" si="9"/>
        <v>N</v>
      </c>
      <c r="S56" s="21" t="str">
        <f t="shared" si="10"/>
        <v>N</v>
      </c>
      <c r="T56" s="21" t="str">
        <f t="shared" si="11"/>
        <v>N</v>
      </c>
      <c r="U56" s="21" t="e">
        <f t="shared" si="6"/>
        <v>#DIV/0!</v>
      </c>
      <c r="V56" s="21" t="e">
        <f t="shared" si="12"/>
        <v>#DIV/0!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</row>
    <row r="57" spans="1:42" x14ac:dyDescent="0.25">
      <c r="A57" s="14"/>
      <c r="B57" s="14"/>
      <c r="C57" s="48"/>
      <c r="D57" s="28"/>
      <c r="E57" s="28"/>
      <c r="F57" s="14"/>
      <c r="G57" s="14"/>
      <c r="H57" s="37"/>
      <c r="I57" s="28"/>
      <c r="J57" s="28"/>
      <c r="K57" s="14"/>
      <c r="L57" s="14"/>
      <c r="M57" s="28"/>
      <c r="N57" s="14"/>
      <c r="O57" s="115" t="e">
        <f t="shared" si="5"/>
        <v>#DIV/0!</v>
      </c>
      <c r="P57" s="116"/>
      <c r="Q57" s="21" t="str">
        <f t="shared" si="8"/>
        <v>Y</v>
      </c>
      <c r="R57" s="21" t="str">
        <f t="shared" si="9"/>
        <v>N</v>
      </c>
      <c r="S57" s="21" t="str">
        <f t="shared" si="10"/>
        <v>N</v>
      </c>
      <c r="T57" s="21" t="str">
        <f t="shared" si="11"/>
        <v>N</v>
      </c>
      <c r="U57" s="21" t="e">
        <f t="shared" si="6"/>
        <v>#DIV/0!</v>
      </c>
      <c r="V57" s="21" t="e">
        <f t="shared" si="12"/>
        <v>#DIV/0!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</row>
    <row r="58" spans="1:4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S58" s="5"/>
      <c r="T58" s="5"/>
      <c r="U58" s="5"/>
      <c r="V58" s="5"/>
    </row>
    <row r="59" spans="1:42" x14ac:dyDescent="0.25">
      <c r="A59" s="109" t="s">
        <v>72</v>
      </c>
      <c r="B59" s="110"/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1"/>
      <c r="S59" s="5"/>
      <c r="T59" s="5"/>
      <c r="U59" s="5"/>
      <c r="V59" s="5"/>
    </row>
    <row r="60" spans="1:42" x14ac:dyDescent="0.25">
      <c r="A60" s="16" t="str">
        <f>Codeine!A60</f>
        <v>Sample</v>
      </c>
      <c r="B60" s="16"/>
      <c r="C60" s="16"/>
      <c r="D60" s="16" t="s">
        <v>125</v>
      </c>
      <c r="E60" s="16"/>
      <c r="F60" s="16"/>
      <c r="G60" s="16"/>
      <c r="H60" s="16"/>
      <c r="I60" s="16" t="s">
        <v>126</v>
      </c>
      <c r="J60" s="16" t="s">
        <v>127</v>
      </c>
      <c r="K60" s="16"/>
      <c r="L60" s="16" t="s">
        <v>128</v>
      </c>
      <c r="M60" s="16"/>
      <c r="N60" s="16"/>
      <c r="O60" s="16"/>
      <c r="P60" s="16"/>
    </row>
    <row r="61" spans="1:42" x14ac:dyDescent="0.25">
      <c r="A61" s="16" t="str">
        <f>Codeine!A61</f>
        <v>Name</v>
      </c>
      <c r="B61" s="16" t="str">
        <f>Codeine!B61</f>
        <v>Data File</v>
      </c>
      <c r="C61" s="16" t="str">
        <f>Codeine!C61</f>
        <v>Acq. Date-Time</v>
      </c>
      <c r="D61" s="16" t="s">
        <v>36</v>
      </c>
      <c r="E61" s="16" t="s">
        <v>37</v>
      </c>
      <c r="F61" s="16" t="s">
        <v>38</v>
      </c>
      <c r="G61" s="16" t="s">
        <v>39</v>
      </c>
      <c r="H61" s="16" t="s">
        <v>40</v>
      </c>
      <c r="I61" s="16" t="s">
        <v>41</v>
      </c>
      <c r="J61" s="16" t="s">
        <v>42</v>
      </c>
      <c r="K61" s="16" t="s">
        <v>38</v>
      </c>
      <c r="L61" s="16" t="s">
        <v>36</v>
      </c>
      <c r="M61" s="16" t="s">
        <v>37</v>
      </c>
      <c r="N61" s="16" t="s">
        <v>39</v>
      </c>
      <c r="O61" s="16"/>
      <c r="P61" s="16"/>
    </row>
    <row r="62" spans="1:42" x14ac:dyDescent="0.25">
      <c r="A62" s="16">
        <f>Codeine!A62</f>
        <v>0</v>
      </c>
      <c r="B62" s="16">
        <f>Codeine!B62</f>
        <v>0</v>
      </c>
      <c r="C62" s="26">
        <f>Codeine!C62</f>
        <v>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spans="1:42" x14ac:dyDescent="0.25">
      <c r="A63" s="16">
        <f>Codeine!A63</f>
        <v>0</v>
      </c>
      <c r="B63" s="16">
        <f>Codeine!B63</f>
        <v>0</v>
      </c>
      <c r="C63" s="26">
        <f>Codeine!C63</f>
        <v>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spans="1:42" x14ac:dyDescent="0.25">
      <c r="A64" s="16">
        <f>Codeine!A64</f>
        <v>0</v>
      </c>
      <c r="B64" s="16">
        <f>Codeine!B64</f>
        <v>0</v>
      </c>
      <c r="C64" s="26">
        <f>Codeine!C64</f>
        <v>0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spans="1:16" x14ac:dyDescent="0.25">
      <c r="A65" s="16">
        <f>Codeine!A65</f>
        <v>0</v>
      </c>
      <c r="B65" s="16">
        <f>Codeine!B65</f>
        <v>0</v>
      </c>
      <c r="C65" s="26">
        <f>Codeine!C65</f>
        <v>0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spans="1:16" x14ac:dyDescent="0.25">
      <c r="A66" s="16">
        <f>Codeine!A66</f>
        <v>0</v>
      </c>
      <c r="B66" s="16">
        <f>Codeine!B66</f>
        <v>0</v>
      </c>
      <c r="C66" s="26">
        <f>Codeine!C66</f>
        <v>0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</row>
    <row r="67" spans="1:16" x14ac:dyDescent="0.25">
      <c r="A67" s="16">
        <f>Codeine!A67</f>
        <v>0</v>
      </c>
      <c r="B67" s="16">
        <f>Codeine!B67</f>
        <v>0</v>
      </c>
      <c r="C67" s="26">
        <f>Codeine!C67</f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</row>
    <row r="68" spans="1:16" x14ac:dyDescent="0.25">
      <c r="A68" s="16">
        <f>Codeine!A68</f>
        <v>0</v>
      </c>
      <c r="B68" s="16">
        <f>Codeine!B68</f>
        <v>0</v>
      </c>
      <c r="C68" s="26">
        <f>Codeine!C68</f>
        <v>0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</row>
    <row r="69" spans="1:16" x14ac:dyDescent="0.25">
      <c r="A69" s="16">
        <f>Codeine!A69</f>
        <v>0</v>
      </c>
      <c r="B69" s="16">
        <f>Codeine!B69</f>
        <v>0</v>
      </c>
      <c r="C69" s="26">
        <f>Codeine!C69</f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</row>
    <row r="70" spans="1:16" x14ac:dyDescent="0.25">
      <c r="A70" s="16">
        <f>Codeine!A70</f>
        <v>0</v>
      </c>
      <c r="B70" s="16">
        <f>Codeine!B70</f>
        <v>0</v>
      </c>
      <c r="C70" s="26">
        <f>Codeine!C70</f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</row>
    <row r="71" spans="1:16" x14ac:dyDescent="0.25">
      <c r="A71" s="16">
        <f>Codeine!A71</f>
        <v>0</v>
      </c>
      <c r="B71" s="16">
        <f>Codeine!B71</f>
        <v>0</v>
      </c>
      <c r="C71" s="26">
        <f>Codeine!C71</f>
        <v>0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</row>
    <row r="72" spans="1:16" x14ac:dyDescent="0.25">
      <c r="A72" s="16">
        <f>Codeine!A72</f>
        <v>0</v>
      </c>
      <c r="B72" s="16">
        <f>Codeine!B72</f>
        <v>0</v>
      </c>
      <c r="C72" s="26">
        <f>Codeine!C72</f>
        <v>0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</row>
    <row r="73" spans="1:16" x14ac:dyDescent="0.25">
      <c r="A73" s="16">
        <f>Codeine!A73</f>
        <v>0</v>
      </c>
      <c r="B73" s="16">
        <f>Codeine!B73</f>
        <v>0</v>
      </c>
      <c r="C73" s="26">
        <f>Codeine!C73</f>
        <v>0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</row>
    <row r="74" spans="1:16" x14ac:dyDescent="0.25">
      <c r="A74" s="16">
        <f>Codeine!A74</f>
        <v>0</v>
      </c>
      <c r="B74" s="16">
        <f>Codeine!B74</f>
        <v>0</v>
      </c>
      <c r="C74" s="26">
        <f>Codeine!C74</f>
        <v>0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</row>
    <row r="75" spans="1:16" x14ac:dyDescent="0.25">
      <c r="A75" s="16">
        <f>Codeine!A75</f>
        <v>0</v>
      </c>
      <c r="B75" s="16">
        <f>Codeine!B75</f>
        <v>0</v>
      </c>
      <c r="C75" s="26">
        <f>Codeine!C75</f>
        <v>0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</row>
    <row r="76" spans="1:16" x14ac:dyDescent="0.25">
      <c r="A76" s="16">
        <f>Codeine!A76</f>
        <v>0</v>
      </c>
      <c r="B76" s="16">
        <f>Codeine!B76</f>
        <v>0</v>
      </c>
      <c r="C76" s="26">
        <f>Codeine!C76</f>
        <v>0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</row>
    <row r="77" spans="1:16" x14ac:dyDescent="0.25">
      <c r="A77" s="16">
        <f>Codeine!A77</f>
        <v>0</v>
      </c>
      <c r="B77" s="16">
        <f>Codeine!B77</f>
        <v>0</v>
      </c>
      <c r="C77" s="26">
        <f>Codeine!C77</f>
        <v>0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25">
      <c r="A78" s="16">
        <f>Codeine!A78</f>
        <v>0</v>
      </c>
      <c r="B78" s="16">
        <f>Codeine!B78</f>
        <v>0</v>
      </c>
      <c r="C78" s="26">
        <f>Codeine!C78</f>
        <v>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25">
      <c r="A79" s="16">
        <f>Codeine!A79</f>
        <v>0</v>
      </c>
      <c r="B79" s="16">
        <f>Codeine!B79</f>
        <v>0</v>
      </c>
      <c r="C79" s="26">
        <f>Codeine!C79</f>
        <v>0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25">
      <c r="A80" s="16">
        <f>Codeine!A80</f>
        <v>0</v>
      </c>
      <c r="B80" s="16">
        <f>Codeine!B80</f>
        <v>0</v>
      </c>
      <c r="C80" s="26">
        <f>Codeine!C80</f>
        <v>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25">
      <c r="A81" s="16">
        <f>Codeine!A81</f>
        <v>0</v>
      </c>
      <c r="B81" s="16">
        <f>Codeine!B81</f>
        <v>0</v>
      </c>
      <c r="C81" s="26">
        <f>Codeine!C81</f>
        <v>0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25">
      <c r="A82" s="16">
        <f>Codeine!A82</f>
        <v>0</v>
      </c>
      <c r="B82" s="16">
        <f>Codeine!B82</f>
        <v>0</v>
      </c>
      <c r="C82" s="26">
        <f>Codeine!C82</f>
        <v>0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x14ac:dyDescent="0.25">
      <c r="A83" s="16">
        <f>Codeine!A83</f>
        <v>0</v>
      </c>
      <c r="B83" s="16">
        <f>Codeine!B83</f>
        <v>0</v>
      </c>
      <c r="C83" s="26">
        <f>Codeine!C83</f>
        <v>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</row>
    <row r="84" spans="1:16" x14ac:dyDescent="0.25">
      <c r="A84" s="16">
        <f>Codeine!A84</f>
        <v>0</v>
      </c>
      <c r="B84" s="16">
        <f>Codeine!B84</f>
        <v>0</v>
      </c>
      <c r="C84" s="26">
        <f>Codeine!C84</f>
        <v>0</v>
      </c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</row>
    <row r="85" spans="1:16" x14ac:dyDescent="0.25">
      <c r="A85" s="16">
        <f>Codeine!A85</f>
        <v>0</v>
      </c>
      <c r="B85" s="16">
        <f>Codeine!B85</f>
        <v>0</v>
      </c>
      <c r="C85" s="26">
        <f>Codeine!C85</f>
        <v>0</v>
      </c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</row>
    <row r="86" spans="1:16" x14ac:dyDescent="0.25">
      <c r="A86" s="16">
        <f>Codeine!A86</f>
        <v>0</v>
      </c>
      <c r="B86" s="16">
        <f>Codeine!B86</f>
        <v>0</v>
      </c>
      <c r="C86" s="26">
        <f>Codeine!C86</f>
        <v>0</v>
      </c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</row>
    <row r="87" spans="1:16" x14ac:dyDescent="0.25">
      <c r="A87" s="16">
        <f>Codeine!A87</f>
        <v>0</v>
      </c>
      <c r="B87" s="16">
        <f>Codeine!B87</f>
        <v>0</v>
      </c>
      <c r="C87" s="26">
        <f>Codeine!C87</f>
        <v>0</v>
      </c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</row>
    <row r="88" spans="1:16" x14ac:dyDescent="0.25">
      <c r="A88" s="16">
        <f>Codeine!A88</f>
        <v>0</v>
      </c>
      <c r="B88" s="16">
        <f>Codeine!B88</f>
        <v>0</v>
      </c>
      <c r="C88" s="26">
        <f>Codeine!C88</f>
        <v>0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</row>
    <row r="89" spans="1:16" x14ac:dyDescent="0.25">
      <c r="A89" s="16">
        <f>Codeine!A89</f>
        <v>0</v>
      </c>
      <c r="B89" s="16">
        <f>Codeine!B89</f>
        <v>0</v>
      </c>
      <c r="C89" s="26">
        <f>Codeine!C89</f>
        <v>0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</row>
    <row r="90" spans="1:16" x14ac:dyDescent="0.25">
      <c r="A90" s="16">
        <f>Codeine!A90</f>
        <v>0</v>
      </c>
      <c r="B90" s="16">
        <f>Codeine!B90</f>
        <v>0</v>
      </c>
      <c r="C90" s="26">
        <f>Codeine!C90</f>
        <v>0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</row>
    <row r="91" spans="1:16" x14ac:dyDescent="0.25">
      <c r="A91" s="16">
        <f>Codeine!A91</f>
        <v>0</v>
      </c>
      <c r="B91" s="16">
        <f>Codeine!B91</f>
        <v>0</v>
      </c>
      <c r="C91" s="26">
        <f>Codeine!C91</f>
        <v>0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</row>
    <row r="92" spans="1:16" x14ac:dyDescent="0.25">
      <c r="A92" s="16">
        <f>Codeine!A92</f>
        <v>0</v>
      </c>
      <c r="B92" s="16">
        <f>Codeine!B92</f>
        <v>0</v>
      </c>
      <c r="C92" s="26">
        <f>Codeine!C92</f>
        <v>0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</row>
  </sheetData>
  <mergeCells count="79">
    <mergeCell ref="A59:P59"/>
    <mergeCell ref="A1:P2"/>
    <mergeCell ref="A4:C4"/>
    <mergeCell ref="D4:G4"/>
    <mergeCell ref="H4:I4"/>
    <mergeCell ref="J4:L4"/>
    <mergeCell ref="M4:P5"/>
    <mergeCell ref="A5:C5"/>
    <mergeCell ref="D5:G5"/>
    <mergeCell ref="H5:I5"/>
    <mergeCell ref="J5:L5"/>
    <mergeCell ref="L22:N22"/>
    <mergeCell ref="O22:P23"/>
    <mergeCell ref="O24:P27"/>
    <mergeCell ref="A7:P7"/>
    <mergeCell ref="A8:P8"/>
    <mergeCell ref="A10:A14"/>
    <mergeCell ref="B10:E10"/>
    <mergeCell ref="F10:H10"/>
    <mergeCell ref="I10:I14"/>
    <mergeCell ref="J10:M10"/>
    <mergeCell ref="N10:P10"/>
    <mergeCell ref="B11:C11"/>
    <mergeCell ref="F11:G11"/>
    <mergeCell ref="J11:K11"/>
    <mergeCell ref="N11:O11"/>
    <mergeCell ref="B9:P9"/>
    <mergeCell ref="B31:B34"/>
    <mergeCell ref="C31:D31"/>
    <mergeCell ref="E31:F31"/>
    <mergeCell ref="I31:K31"/>
    <mergeCell ref="O31:P36"/>
    <mergeCell ref="E32:F33"/>
    <mergeCell ref="H32:H33"/>
    <mergeCell ref="I32:I33"/>
    <mergeCell ref="J32:K33"/>
    <mergeCell ref="M32:M33"/>
    <mergeCell ref="C33:C34"/>
    <mergeCell ref="E34:F34"/>
    <mergeCell ref="D36:H36"/>
    <mergeCell ref="J36:K36"/>
    <mergeCell ref="L36:N36"/>
    <mergeCell ref="O44:P44"/>
    <mergeCell ref="O45:P45"/>
    <mergeCell ref="O46:P46"/>
    <mergeCell ref="O47:P47"/>
    <mergeCell ref="O37:P37"/>
    <mergeCell ref="O39:P39"/>
    <mergeCell ref="O40:P40"/>
    <mergeCell ref="O41:P41"/>
    <mergeCell ref="O42:P42"/>
    <mergeCell ref="O43:P43"/>
    <mergeCell ref="O38:P38"/>
    <mergeCell ref="A16:A20"/>
    <mergeCell ref="A30:P30"/>
    <mergeCell ref="A29:P29"/>
    <mergeCell ref="Q29:V29"/>
    <mergeCell ref="B15:P15"/>
    <mergeCell ref="B16:E16"/>
    <mergeCell ref="F16:H16"/>
    <mergeCell ref="I16:I20"/>
    <mergeCell ref="J16:M16"/>
    <mergeCell ref="N16:P16"/>
    <mergeCell ref="B17:C17"/>
    <mergeCell ref="F17:G17"/>
    <mergeCell ref="J17:K17"/>
    <mergeCell ref="N17:O17"/>
    <mergeCell ref="D22:H22"/>
    <mergeCell ref="J22:K22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</mergeCells>
  <conditionalFormatting sqref="D12">
    <cfRule type="cellIs" dxfId="54" priority="42" operator="greaterThan">
      <formula>$C$12</formula>
    </cfRule>
    <cfRule type="cellIs" dxfId="53" priority="38" operator="lessThan">
      <formula>$C$12</formula>
    </cfRule>
  </conditionalFormatting>
  <conditionalFormatting sqref="D13">
    <cfRule type="cellIs" dxfId="52" priority="41" operator="greaterThan">
      <formula>$C$13</formula>
    </cfRule>
    <cfRule type="cellIs" dxfId="51" priority="37" operator="lessThan">
      <formula>$C$13</formula>
    </cfRule>
  </conditionalFormatting>
  <conditionalFormatting sqref="D14 D20">
    <cfRule type="cellIs" dxfId="50" priority="40" operator="greaterThan">
      <formula>$C$14</formula>
    </cfRule>
    <cfRule type="cellIs" dxfId="49" priority="36" operator="lessThan">
      <formula>$C$14</formula>
    </cfRule>
  </conditionalFormatting>
  <conditionalFormatting sqref="D18">
    <cfRule type="cellIs" dxfId="48" priority="11" operator="lessThan">
      <formula>$C$12</formula>
    </cfRule>
    <cfRule type="cellIs" dxfId="47" priority="14" operator="greaterThan">
      <formula>$C$12</formula>
    </cfRule>
  </conditionalFormatting>
  <conditionalFormatting sqref="D19">
    <cfRule type="cellIs" dxfId="46" priority="13" operator="greaterThan">
      <formula>$C$13</formula>
    </cfRule>
    <cfRule type="cellIs" dxfId="45" priority="10" operator="lessThan">
      <formula>$C$13</formula>
    </cfRule>
  </conditionalFormatting>
  <conditionalFormatting sqref="D38:D57">
    <cfRule type="cellIs" dxfId="44" priority="44" operator="greaterThan">
      <formula>$D$34</formula>
    </cfRule>
    <cfRule type="cellIs" dxfId="43" priority="43" operator="lessThan">
      <formula>$D$33</formula>
    </cfRule>
    <cfRule type="cellIs" dxfId="42" priority="45" operator="between">
      <formula>$D$33</formula>
      <formula>$D$34</formula>
    </cfRule>
  </conditionalFormatting>
  <conditionalFormatting sqref="E38:E57">
    <cfRule type="cellIs" dxfId="41" priority="46" operator="lessThan">
      <formula>$E$34</formula>
    </cfRule>
    <cfRule type="cellIs" dxfId="40" priority="47" operator="greaterThan">
      <formula>$E$34</formula>
    </cfRule>
  </conditionalFormatting>
  <conditionalFormatting sqref="H12">
    <cfRule type="cellIs" dxfId="39" priority="39" operator="between">
      <formula>$G$13</formula>
      <formula>$G$14</formula>
    </cfRule>
    <cfRule type="cellIs" dxfId="38" priority="34" operator="lessThan">
      <formula>$G$14</formula>
    </cfRule>
    <cfRule type="cellIs" dxfId="37" priority="35" operator="greaterThan">
      <formula>$G$13</formula>
    </cfRule>
  </conditionalFormatting>
  <conditionalFormatting sqref="H18">
    <cfRule type="cellIs" dxfId="36" priority="8" operator="lessThan">
      <formula>$G$14</formula>
    </cfRule>
    <cfRule type="cellIs" dxfId="35" priority="9" operator="greaterThan">
      <formula>$G$13</formula>
    </cfRule>
    <cfRule type="cellIs" dxfId="34" priority="12" operator="between">
      <formula>$G$13</formula>
      <formula>$G$14</formula>
    </cfRule>
  </conditionalFormatting>
  <conditionalFormatting sqref="H38:H57">
    <cfRule type="cellIs" dxfId="33" priority="48" operator="lessThan">
      <formula>$H$34</formula>
    </cfRule>
    <cfRule type="cellIs" dxfId="32" priority="49" operator="greaterThan">
      <formula>$H$34</formula>
    </cfRule>
  </conditionalFormatting>
  <conditionalFormatting sqref="I38:I57">
    <cfRule type="cellIs" dxfId="31" priority="50" operator="lessThan">
      <formula>$I$34</formula>
    </cfRule>
    <cfRule type="cellIs" dxfId="30" priority="51" operator="greaterThan">
      <formula>$I$34</formula>
    </cfRule>
  </conditionalFormatting>
  <conditionalFormatting sqref="J38:J57">
    <cfRule type="cellIs" dxfId="29" priority="15" operator="lessThan">
      <formula>$J$34</formula>
    </cfRule>
    <cfRule type="cellIs" dxfId="28" priority="16" operator="greaterThan">
      <formula>$K$34</formula>
    </cfRule>
    <cfRule type="cellIs" dxfId="27" priority="17" operator="between">
      <formula>$J$34</formula>
      <formula>$K$34</formula>
    </cfRule>
  </conditionalFormatting>
  <conditionalFormatting sqref="L12">
    <cfRule type="cellIs" dxfId="26" priority="33" operator="greaterThan">
      <formula>$K$12</formula>
    </cfRule>
    <cfRule type="cellIs" dxfId="25" priority="32" operator="lessThan">
      <formula>$K$12</formula>
    </cfRule>
  </conditionalFormatting>
  <conditionalFormatting sqref="L13">
    <cfRule type="cellIs" dxfId="24" priority="31" operator="greaterThan">
      <formula>$K$13</formula>
    </cfRule>
    <cfRule type="cellIs" dxfId="23" priority="30" operator="lessThan">
      <formula>$K$13</formula>
    </cfRule>
  </conditionalFormatting>
  <conditionalFormatting sqref="L14 L20">
    <cfRule type="cellIs" dxfId="22" priority="28" operator="lessThan">
      <formula>$K$14</formula>
    </cfRule>
    <cfRule type="cellIs" dxfId="21" priority="29" operator="greaterThan">
      <formula>$K$14</formula>
    </cfRule>
  </conditionalFormatting>
  <conditionalFormatting sqref="L18">
    <cfRule type="cellIs" dxfId="20" priority="6" operator="lessThan">
      <formula>$K$12</formula>
    </cfRule>
    <cfRule type="cellIs" dxfId="19" priority="7" operator="greaterThan">
      <formula>$K$12</formula>
    </cfRule>
  </conditionalFormatting>
  <conditionalFormatting sqref="L19">
    <cfRule type="cellIs" dxfId="18" priority="5" operator="greaterThan">
      <formula>$K$13</formula>
    </cfRule>
    <cfRule type="cellIs" dxfId="17" priority="4" operator="lessThan">
      <formula>$K$13</formula>
    </cfRule>
  </conditionalFormatting>
  <conditionalFormatting sqref="M38:M57">
    <cfRule type="cellIs" dxfId="16" priority="52" operator="lessThan">
      <formula>$M$34</formula>
    </cfRule>
    <cfRule type="cellIs" dxfId="15" priority="53" operator="greaterThan">
      <formula>$M$34</formula>
    </cfRule>
  </conditionalFormatting>
  <conditionalFormatting sqref="O38:O57">
    <cfRule type="containsText" dxfId="14" priority="24" operator="containsText" text="Detect">
      <formula>NOT(ISERROR(SEARCH("Detect",O38)))</formula>
    </cfRule>
    <cfRule type="containsText" dxfId="13" priority="54" operator="containsText" text="ND">
      <formula>NOT(ISERROR(SEARCH("ND",O38)))</formula>
    </cfRule>
  </conditionalFormatting>
  <conditionalFormatting sqref="O38:P92">
    <cfRule type="expression" dxfId="12" priority="23">
      <formula>$O38="Detect with IS Supp"</formula>
    </cfRule>
  </conditionalFormatting>
  <conditionalFormatting sqref="P12">
    <cfRule type="cellIs" dxfId="11" priority="27" operator="between">
      <formula>$O$13</formula>
      <formula>$O$14</formula>
    </cfRule>
    <cfRule type="cellIs" dxfId="10" priority="26" operator="greaterThan">
      <formula>$O$13</formula>
    </cfRule>
    <cfRule type="cellIs" dxfId="9" priority="25" operator="lessThan">
      <formula>$O$14</formula>
    </cfRule>
  </conditionalFormatting>
  <conditionalFormatting sqref="P18">
    <cfRule type="cellIs" dxfId="8" priority="1" operator="lessThan">
      <formula>$O$14</formula>
    </cfRule>
    <cfRule type="cellIs" dxfId="7" priority="3" operator="between">
      <formula>$O$13</formula>
      <formula>$O$14</formula>
    </cfRule>
    <cfRule type="cellIs" dxfId="6" priority="2" operator="greaterThan">
      <formula>$O$13</formula>
    </cfRule>
  </conditionalFormatting>
  <conditionalFormatting sqref="Q38:U57">
    <cfRule type="containsText" dxfId="5" priority="20" operator="containsText" text="Y">
      <formula>NOT(ISERROR(SEARCH("Y",Q38)))</formula>
    </cfRule>
    <cfRule type="containsText" dxfId="4" priority="21" operator="containsText" text="N">
      <formula>NOT(ISERROR(SEARCH("N",Q38)))</formula>
    </cfRule>
  </conditionalFormatting>
  <conditionalFormatting sqref="V38:V57">
    <cfRule type="containsText" dxfId="3" priority="19" operator="containsText" text="Fail">
      <formula>NOT(ISERROR(SEARCH("Fail",V38)))</formula>
    </cfRule>
    <cfRule type="containsText" dxfId="2" priority="18" operator="containsText" text="Pass">
      <formula>NOT(ISERROR(SEARCH("Pass",V38)))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2deae9-1c4c-42c8-a310-5088af55ba74}" enabled="0" method="" siteId="{992deae9-1c4c-42c8-a310-5088af55ba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Results Summary</vt:lpstr>
      <vt:lpstr>Codeine</vt:lpstr>
      <vt:lpstr>Amphetamine</vt:lpstr>
      <vt:lpstr>Norfentanyl</vt:lpstr>
      <vt:lpstr>Norcarfentanil</vt:lpstr>
      <vt:lpstr>Xylazine</vt:lpstr>
      <vt:lpstr>Heroin</vt:lpstr>
      <vt:lpstr>Cocaine</vt:lpstr>
      <vt:lpstr>Acetyl Fentanyl</vt:lpstr>
      <vt:lpstr>Acryl Fentanyl</vt:lpstr>
      <vt:lpstr>Fentanyl</vt:lpstr>
      <vt:lpstr>4-ANPP</vt:lpstr>
      <vt:lpstr>para-Fluorofentanyl</vt:lpstr>
      <vt:lpstr>Carfentanil</vt:lpstr>
      <vt:lpstr>Lorazepam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Niemi</dc:creator>
  <cp:lastModifiedBy>Niemi, Benjamin</cp:lastModifiedBy>
  <dcterms:created xsi:type="dcterms:W3CDTF">2026-06-24T13:57:44Z</dcterms:created>
  <dcterms:modified xsi:type="dcterms:W3CDTF">2026-06-26T15:45:23Z</dcterms:modified>
</cp:coreProperties>
</file>