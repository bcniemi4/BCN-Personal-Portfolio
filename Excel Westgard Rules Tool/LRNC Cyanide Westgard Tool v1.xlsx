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gov-my.sharepoint.com/personal/benjamin_c_niemi_dhhs_nh_gov/Documents/Desktop/Westgard Rule Tool Project/"/>
    </mc:Choice>
  </mc:AlternateContent>
  <xr:revisionPtr revIDLastSave="0" documentId="8_{9741E6C6-C064-4444-8EE0-56F7F4500D31}" xr6:coauthVersionLast="47" xr6:coauthVersionMax="47" xr10:uidLastSave="{00000000-0000-0000-0000-000000000000}"/>
  <bookViews>
    <workbookView minimized="1" xWindow="8760" yWindow="1725" windowWidth="15960" windowHeight="11235" activeTab="2" xr2:uid="{DA120C4E-2925-4F89-8A9A-12E22678FAF7}"/>
  </bookViews>
  <sheets>
    <sheet name="Westgard Rules" sheetId="1" r:id="rId1"/>
    <sheet name="Charts" sheetId="2" r:id="rId2"/>
    <sheet name="RAW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2" i="3" l="1"/>
  <c r="AD63" i="3"/>
  <c r="AD64" i="3"/>
  <c r="C4" i="1"/>
  <c r="B30" i="2" s="1"/>
  <c r="D4" i="1"/>
  <c r="B55" i="2" s="1"/>
  <c r="C5" i="1"/>
  <c r="B31" i="2" s="1"/>
  <c r="D5" i="1"/>
  <c r="B56" i="2" s="1"/>
  <c r="C6" i="1"/>
  <c r="B32" i="2" s="1"/>
  <c r="D6" i="1"/>
  <c r="B57" i="2" s="1"/>
  <c r="C7" i="1"/>
  <c r="B33" i="2" s="1"/>
  <c r="D7" i="1"/>
  <c r="B58" i="2" s="1"/>
  <c r="C8" i="1"/>
  <c r="B34" i="2" s="1"/>
  <c r="D8" i="1"/>
  <c r="B59" i="2" s="1"/>
  <c r="C9" i="1"/>
  <c r="B35" i="2" s="1"/>
  <c r="D9" i="1"/>
  <c r="B60" i="2" s="1"/>
  <c r="C10" i="1"/>
  <c r="B36" i="2" s="1"/>
  <c r="D10" i="1"/>
  <c r="B61" i="2" s="1"/>
  <c r="C11" i="1"/>
  <c r="B37" i="2" s="1"/>
  <c r="D11" i="1"/>
  <c r="B62" i="2" s="1"/>
  <c r="C12" i="1"/>
  <c r="B38" i="2" s="1"/>
  <c r="D12" i="1"/>
  <c r="B63" i="2" s="1"/>
  <c r="C13" i="1"/>
  <c r="B39" i="2" s="1"/>
  <c r="D13" i="1"/>
  <c r="B64" i="2" s="1"/>
  <c r="C14" i="1"/>
  <c r="B40" i="2" s="1"/>
  <c r="D14" i="1"/>
  <c r="B65" i="2" s="1"/>
  <c r="C15" i="1"/>
  <c r="B41" i="2" s="1"/>
  <c r="D15" i="1"/>
  <c r="B66" i="2" s="1"/>
  <c r="C16" i="1"/>
  <c r="B42" i="2" s="1"/>
  <c r="D16" i="1"/>
  <c r="B67" i="2" s="1"/>
  <c r="C17" i="1"/>
  <c r="B43" i="2" s="1"/>
  <c r="D17" i="1"/>
  <c r="B68" i="2" s="1"/>
  <c r="C18" i="1"/>
  <c r="B44" i="2" s="1"/>
  <c r="D18" i="1"/>
  <c r="B69" i="2" s="1"/>
  <c r="C19" i="1"/>
  <c r="B45" i="2" s="1"/>
  <c r="D19" i="1"/>
  <c r="B70" i="2" s="1"/>
  <c r="C20" i="1"/>
  <c r="B46" i="2" s="1"/>
  <c r="D20" i="1"/>
  <c r="B71" i="2" s="1"/>
  <c r="C21" i="1"/>
  <c r="B47" i="2" s="1"/>
  <c r="D21" i="1"/>
  <c r="B72" i="2" s="1"/>
  <c r="C22" i="1"/>
  <c r="B48" i="2" s="1"/>
  <c r="D22" i="1"/>
  <c r="B73" i="2" s="1"/>
  <c r="D3" i="1"/>
  <c r="B54" i="2" s="1"/>
  <c r="C3" i="1"/>
  <c r="B29" i="2" s="1"/>
  <c r="A4" i="1"/>
  <c r="K27" i="1" s="1"/>
  <c r="A5" i="1"/>
  <c r="K28" i="1" s="1"/>
  <c r="A6" i="1"/>
  <c r="P11" i="1" s="1"/>
  <c r="A7" i="1"/>
  <c r="P12" i="1" s="1"/>
  <c r="A8" i="1"/>
  <c r="P13" i="1" s="1"/>
  <c r="A9" i="1"/>
  <c r="K9" i="1" s="1"/>
  <c r="A10" i="1"/>
  <c r="K33" i="1" s="1"/>
  <c r="A11" i="1"/>
  <c r="K34" i="1" s="1"/>
  <c r="A12" i="1"/>
  <c r="P17" i="1" s="1"/>
  <c r="A13" i="1"/>
  <c r="P18" i="1" s="1"/>
  <c r="A14" i="1"/>
  <c r="A15" i="2" s="1"/>
  <c r="A40" i="2" s="1"/>
  <c r="A65" i="2" s="1"/>
  <c r="A15" i="1"/>
  <c r="A16" i="2" s="1"/>
  <c r="A41" i="2" s="1"/>
  <c r="A66" i="2" s="1"/>
  <c r="A16" i="1"/>
  <c r="K16" i="1" s="1"/>
  <c r="A17" i="1"/>
  <c r="K17" i="1" s="1"/>
  <c r="A18" i="1"/>
  <c r="K18" i="1" s="1"/>
  <c r="A19" i="1"/>
  <c r="K19" i="1" s="1"/>
  <c r="A20" i="1"/>
  <c r="K43" i="1" s="1"/>
  <c r="A21" i="1"/>
  <c r="K21" i="1" s="1"/>
  <c r="A22" i="1"/>
  <c r="P27" i="1" s="1"/>
  <c r="A3" i="1"/>
  <c r="P8" i="1" s="1"/>
  <c r="B4" i="1"/>
  <c r="B5" i="2" s="1"/>
  <c r="B5" i="1"/>
  <c r="B6" i="2" s="1"/>
  <c r="B6" i="1"/>
  <c r="B7" i="2" s="1"/>
  <c r="B7" i="1"/>
  <c r="B8" i="2" s="1"/>
  <c r="B8" i="1"/>
  <c r="B9" i="2" s="1"/>
  <c r="B9" i="1"/>
  <c r="B10" i="2" s="1"/>
  <c r="B10" i="1"/>
  <c r="B11" i="2" s="1"/>
  <c r="B11" i="1"/>
  <c r="B12" i="2" s="1"/>
  <c r="B12" i="1"/>
  <c r="B13" i="2" s="1"/>
  <c r="B13" i="1"/>
  <c r="B14" i="2" s="1"/>
  <c r="B14" i="1"/>
  <c r="B15" i="2" s="1"/>
  <c r="B15" i="1"/>
  <c r="B16" i="2" s="1"/>
  <c r="B16" i="1"/>
  <c r="B17" i="2" s="1"/>
  <c r="B17" i="1"/>
  <c r="B18" i="2" s="1"/>
  <c r="B18" i="1"/>
  <c r="B19" i="2" s="1"/>
  <c r="B19" i="1"/>
  <c r="B20" i="2" s="1"/>
  <c r="B20" i="1"/>
  <c r="B21" i="2" s="1"/>
  <c r="B21" i="1"/>
  <c r="B22" i="2" s="1"/>
  <c r="B22" i="1"/>
  <c r="B23" i="2" s="1"/>
  <c r="B3" i="1"/>
  <c r="K12" i="1" l="1"/>
  <c r="K14" i="1"/>
  <c r="K42" i="1"/>
  <c r="P19" i="1"/>
  <c r="P20" i="1"/>
  <c r="P9" i="1"/>
  <c r="K38" i="1"/>
  <c r="H3" i="1"/>
  <c r="K37" i="1"/>
  <c r="P22" i="1"/>
  <c r="P21" i="1"/>
  <c r="A20" i="2"/>
  <c r="A45" i="2" s="1"/>
  <c r="A70" i="2" s="1"/>
  <c r="A18" i="2"/>
  <c r="A43" i="2" s="1"/>
  <c r="A68" i="2" s="1"/>
  <c r="K15" i="1"/>
  <c r="K41" i="1"/>
  <c r="K40" i="1"/>
  <c r="K39" i="1"/>
  <c r="G3" i="1"/>
  <c r="Q8" i="1" s="1"/>
  <c r="I3" i="1"/>
  <c r="S9" i="1" s="1"/>
  <c r="A14" i="2"/>
  <c r="A39" i="2" s="1"/>
  <c r="A64" i="2" s="1"/>
  <c r="A23" i="2"/>
  <c r="A48" i="2" s="1"/>
  <c r="A73" i="2" s="1"/>
  <c r="A7" i="2"/>
  <c r="A32" i="2" s="1"/>
  <c r="A57" i="2" s="1"/>
  <c r="K13" i="1"/>
  <c r="P10" i="1"/>
  <c r="A9" i="2"/>
  <c r="A34" i="2" s="1"/>
  <c r="A59" i="2" s="1"/>
  <c r="A4" i="2"/>
  <c r="A29" i="2" s="1"/>
  <c r="A54" i="2" s="1"/>
  <c r="B4" i="2"/>
  <c r="A11" i="2"/>
  <c r="A36" i="2" s="1"/>
  <c r="A61" i="2" s="1"/>
  <c r="A6" i="2"/>
  <c r="A31" i="2" s="1"/>
  <c r="A56" i="2" s="1"/>
  <c r="P24" i="1"/>
  <c r="A10" i="2"/>
  <c r="A35" i="2" s="1"/>
  <c r="A60" i="2" s="1"/>
  <c r="A13" i="2"/>
  <c r="A38" i="2" s="1"/>
  <c r="A63" i="2" s="1"/>
  <c r="A22" i="2"/>
  <c r="A47" i="2" s="1"/>
  <c r="A72" i="2" s="1"/>
  <c r="P26" i="1"/>
  <c r="A8" i="2"/>
  <c r="A33" i="2" s="1"/>
  <c r="A58" i="2" s="1"/>
  <c r="P25" i="1"/>
  <c r="A17" i="2"/>
  <c r="A42" i="2" s="1"/>
  <c r="A67" i="2" s="1"/>
  <c r="P23" i="1"/>
  <c r="A19" i="2"/>
  <c r="A44" i="2" s="1"/>
  <c r="A69" i="2" s="1"/>
  <c r="A12" i="2"/>
  <c r="A37" i="2" s="1"/>
  <c r="A62" i="2" s="1"/>
  <c r="H4" i="1"/>
  <c r="A21" i="2"/>
  <c r="A46" i="2" s="1"/>
  <c r="A71" i="2" s="1"/>
  <c r="A5" i="2"/>
  <c r="A30" i="2" s="1"/>
  <c r="A55" i="2" s="1"/>
  <c r="Q3" i="1" a="1"/>
  <c r="Q3" i="1" s="1"/>
  <c r="Q26" i="1"/>
  <c r="Q10" i="1"/>
  <c r="Q25" i="1"/>
  <c r="G4" i="1"/>
  <c r="K35" i="1"/>
  <c r="K5" i="1"/>
  <c r="K32" i="1"/>
  <c r="K20" i="1"/>
  <c r="K26" i="1"/>
  <c r="P16" i="1"/>
  <c r="P15" i="1"/>
  <c r="K44" i="1"/>
  <c r="P14" i="1"/>
  <c r="K11" i="1"/>
  <c r="K10" i="1"/>
  <c r="I4" i="1"/>
  <c r="N42" i="1" s="1"/>
  <c r="K36" i="1"/>
  <c r="K8" i="1"/>
  <c r="K3" i="1"/>
  <c r="K7" i="1"/>
  <c r="K22" i="1"/>
  <c r="K6" i="1"/>
  <c r="K4" i="1"/>
  <c r="K31" i="1"/>
  <c r="K30" i="1"/>
  <c r="K45" i="1"/>
  <c r="K29" i="1"/>
  <c r="Q23" i="1"/>
  <c r="L18" i="1" l="1"/>
  <c r="Q4" i="1" a="1"/>
  <c r="Q4" i="1" s="1"/>
  <c r="S4" i="1" a="1"/>
  <c r="S4" i="1" s="1"/>
  <c r="S16" i="1"/>
  <c r="R15" i="1"/>
  <c r="C47" i="2"/>
  <c r="C45" i="2"/>
  <c r="C43" i="2"/>
  <c r="C41" i="2"/>
  <c r="C39" i="2"/>
  <c r="C37" i="2"/>
  <c r="C35" i="2"/>
  <c r="C33" i="2"/>
  <c r="C31" i="2"/>
  <c r="C29" i="2"/>
  <c r="C48" i="2"/>
  <c r="C46" i="2"/>
  <c r="C44" i="2"/>
  <c r="C42" i="2"/>
  <c r="C40" i="2"/>
  <c r="C38" i="2"/>
  <c r="C36" i="2"/>
  <c r="C34" i="2"/>
  <c r="C32" i="2"/>
  <c r="C30" i="2"/>
  <c r="S22" i="1"/>
  <c r="C73" i="2"/>
  <c r="C71" i="2"/>
  <c r="C69" i="2"/>
  <c r="C67" i="2"/>
  <c r="C65" i="2"/>
  <c r="C63" i="2"/>
  <c r="C61" i="2"/>
  <c r="C59" i="2"/>
  <c r="C57" i="2"/>
  <c r="C55" i="2"/>
  <c r="C54" i="2"/>
  <c r="C72" i="2"/>
  <c r="C70" i="2"/>
  <c r="C68" i="2"/>
  <c r="C66" i="2"/>
  <c r="C64" i="2"/>
  <c r="C62" i="2"/>
  <c r="C60" i="2"/>
  <c r="C58" i="2"/>
  <c r="C56" i="2"/>
  <c r="S17" i="1"/>
  <c r="Q21" i="1"/>
  <c r="S8" i="1"/>
  <c r="R13" i="1"/>
  <c r="M4" i="1"/>
  <c r="R8" i="1"/>
  <c r="R23" i="1"/>
  <c r="S15" i="1"/>
  <c r="R21" i="1"/>
  <c r="Q9" i="1"/>
  <c r="Q14" i="1"/>
  <c r="R4" i="1" a="1"/>
  <c r="R4" i="1" s="1"/>
  <c r="S23" i="1"/>
  <c r="R26" i="1"/>
  <c r="R25" i="1"/>
  <c r="Q17" i="1"/>
  <c r="R16" i="1"/>
  <c r="Q15" i="1"/>
  <c r="R18" i="1"/>
  <c r="R9" i="1"/>
  <c r="M38" i="1"/>
  <c r="R17" i="1"/>
  <c r="S3" i="1" a="1"/>
  <c r="S3" i="1" s="1"/>
  <c r="M43" i="1"/>
  <c r="L39" i="1"/>
  <c r="R3" i="1" a="1"/>
  <c r="R3" i="1" s="1"/>
  <c r="L40" i="1"/>
  <c r="M20" i="1"/>
  <c r="M17" i="1"/>
  <c r="M21" i="1"/>
  <c r="M37" i="1"/>
  <c r="M5" i="1"/>
  <c r="R24" i="1"/>
  <c r="R19" i="1"/>
  <c r="R27" i="1"/>
  <c r="S13" i="1"/>
  <c r="S10" i="1"/>
  <c r="S24" i="1"/>
  <c r="S18" i="1"/>
  <c r="Q16" i="1"/>
  <c r="Q20" i="1"/>
  <c r="M35" i="1"/>
  <c r="Q22" i="1"/>
  <c r="S26" i="1"/>
  <c r="M33" i="1"/>
  <c r="M40" i="1"/>
  <c r="M32" i="1"/>
  <c r="M8" i="1"/>
  <c r="M10" i="1"/>
  <c r="M16" i="1"/>
  <c r="M18" i="1"/>
  <c r="M6" i="1"/>
  <c r="M7" i="1"/>
  <c r="M14" i="1"/>
  <c r="M15" i="1"/>
  <c r="M22" i="1"/>
  <c r="R10" i="1"/>
  <c r="Q18" i="1"/>
  <c r="R20" i="1"/>
  <c r="L30" i="1"/>
  <c r="M26" i="1"/>
  <c r="H7" i="1"/>
  <c r="H10" i="1" s="1"/>
  <c r="N45" i="1"/>
  <c r="M19" i="1"/>
  <c r="M44" i="1"/>
  <c r="M39" i="1"/>
  <c r="L17" i="1"/>
  <c r="M28" i="1"/>
  <c r="R12" i="1"/>
  <c r="M30" i="1"/>
  <c r="M36" i="1"/>
  <c r="R11" i="1"/>
  <c r="R22" i="1"/>
  <c r="N29" i="1"/>
  <c r="N15" i="1"/>
  <c r="N18" i="1"/>
  <c r="N34" i="1"/>
  <c r="N13" i="1"/>
  <c r="N26" i="1"/>
  <c r="N20" i="1"/>
  <c r="R14" i="1"/>
  <c r="Q19" i="1"/>
  <c r="S11" i="1"/>
  <c r="L9" i="1"/>
  <c r="Q13" i="1"/>
  <c r="N31" i="1"/>
  <c r="N16" i="1"/>
  <c r="S19" i="1"/>
  <c r="S12" i="1"/>
  <c r="S14" i="1"/>
  <c r="L43" i="1"/>
  <c r="L20" i="1"/>
  <c r="N35" i="1"/>
  <c r="S27" i="1"/>
  <c r="S20" i="1"/>
  <c r="Q11" i="1"/>
  <c r="N27" i="1"/>
  <c r="M3" i="1"/>
  <c r="M13" i="1"/>
  <c r="N12" i="1"/>
  <c r="M41" i="1"/>
  <c r="Q24" i="1"/>
  <c r="N43" i="1"/>
  <c r="Q12" i="1"/>
  <c r="S21" i="1"/>
  <c r="S25" i="1"/>
  <c r="G6" i="1"/>
  <c r="Q27" i="1"/>
  <c r="N41" i="1"/>
  <c r="M12" i="1"/>
  <c r="N21" i="1"/>
  <c r="N5" i="1"/>
  <c r="M27" i="1"/>
  <c r="M34" i="1"/>
  <c r="M9" i="1"/>
  <c r="M31" i="1"/>
  <c r="N17" i="1"/>
  <c r="M11" i="1"/>
  <c r="N9" i="1"/>
  <c r="M42" i="1"/>
  <c r="N30" i="1"/>
  <c r="M29" i="1"/>
  <c r="H6" i="1"/>
  <c r="H11" i="1" s="1"/>
  <c r="M45" i="1"/>
  <c r="L8" i="1"/>
  <c r="C7" i="2"/>
  <c r="C23" i="2"/>
  <c r="C14" i="2"/>
  <c r="C6" i="2"/>
  <c r="C5" i="2"/>
  <c r="C21" i="2"/>
  <c r="C19" i="2"/>
  <c r="C17" i="2"/>
  <c r="C8" i="2"/>
  <c r="C15" i="2"/>
  <c r="C22" i="2"/>
  <c r="C4" i="2"/>
  <c r="C12" i="2"/>
  <c r="C10" i="2"/>
  <c r="C13" i="2"/>
  <c r="C20" i="2"/>
  <c r="C11" i="2"/>
  <c r="C18" i="2"/>
  <c r="C9" i="2"/>
  <c r="C16" i="2"/>
  <c r="L16" i="1"/>
  <c r="L27" i="1"/>
  <c r="N37" i="1"/>
  <c r="L33" i="1"/>
  <c r="N7" i="1"/>
  <c r="L31" i="1"/>
  <c r="N36" i="1"/>
  <c r="N10" i="1"/>
  <c r="L37" i="1"/>
  <c r="L32" i="1"/>
  <c r="N38" i="1"/>
  <c r="N39" i="1"/>
  <c r="L6" i="1"/>
  <c r="L34" i="1"/>
  <c r="L35" i="1"/>
  <c r="N28" i="1"/>
  <c r="L41" i="1"/>
  <c r="L11" i="1"/>
  <c r="L28" i="1"/>
  <c r="I6" i="1"/>
  <c r="I11" i="1" s="1"/>
  <c r="L22" i="1"/>
  <c r="N19" i="1"/>
  <c r="N14" i="1"/>
  <c r="L44" i="1"/>
  <c r="L29" i="1"/>
  <c r="L21" i="1"/>
  <c r="N4" i="1"/>
  <c r="I7" i="1"/>
  <c r="I10" i="1" s="1"/>
  <c r="L15" i="1"/>
  <c r="L14" i="1"/>
  <c r="L26" i="1"/>
  <c r="L42" i="1"/>
  <c r="N33" i="1"/>
  <c r="L13" i="1"/>
  <c r="N8" i="1"/>
  <c r="L45" i="1"/>
  <c r="N11" i="1"/>
  <c r="G7" i="1"/>
  <c r="N32" i="1"/>
  <c r="L5" i="1"/>
  <c r="L3" i="1"/>
  <c r="N6" i="1"/>
  <c r="L19" i="1"/>
  <c r="N22" i="1"/>
  <c r="N44" i="1"/>
  <c r="L10" i="1"/>
  <c r="N3" i="1"/>
  <c r="L12" i="1"/>
  <c r="L4" i="1"/>
  <c r="L38" i="1"/>
  <c r="L7" i="1"/>
  <c r="L36" i="1"/>
  <c r="N40" i="1"/>
  <c r="F47" i="2" l="1"/>
  <c r="F45" i="2"/>
  <c r="F43" i="2"/>
  <c r="F41" i="2"/>
  <c r="F39" i="2"/>
  <c r="F37" i="2"/>
  <c r="F35" i="2"/>
  <c r="F33" i="2"/>
  <c r="F31" i="2"/>
  <c r="F29" i="2"/>
  <c r="F48" i="2"/>
  <c r="F46" i="2"/>
  <c r="F44" i="2"/>
  <c r="F42" i="2"/>
  <c r="F40" i="2"/>
  <c r="F38" i="2"/>
  <c r="F36" i="2"/>
  <c r="F34" i="2"/>
  <c r="F32" i="2"/>
  <c r="F30" i="2"/>
  <c r="E73" i="2"/>
  <c r="E71" i="2"/>
  <c r="E69" i="2"/>
  <c r="E67" i="2"/>
  <c r="E65" i="2"/>
  <c r="E63" i="2"/>
  <c r="E61" i="2"/>
  <c r="E59" i="2"/>
  <c r="E57" i="2"/>
  <c r="E55" i="2"/>
  <c r="E54" i="2"/>
  <c r="E72" i="2"/>
  <c r="E70" i="2"/>
  <c r="E68" i="2"/>
  <c r="E66" i="2"/>
  <c r="E64" i="2"/>
  <c r="E62" i="2"/>
  <c r="E60" i="2"/>
  <c r="E58" i="2"/>
  <c r="E56" i="2"/>
  <c r="E47" i="2"/>
  <c r="E45" i="2"/>
  <c r="E43" i="2"/>
  <c r="E41" i="2"/>
  <c r="E39" i="2"/>
  <c r="E37" i="2"/>
  <c r="E35" i="2"/>
  <c r="E33" i="2"/>
  <c r="E31" i="2"/>
  <c r="E29" i="2"/>
  <c r="E48" i="2"/>
  <c r="E46" i="2"/>
  <c r="E44" i="2"/>
  <c r="E42" i="2"/>
  <c r="E40" i="2"/>
  <c r="E38" i="2"/>
  <c r="E36" i="2"/>
  <c r="E34" i="2"/>
  <c r="E32" i="2"/>
  <c r="E30" i="2"/>
  <c r="F73" i="2"/>
  <c r="F71" i="2"/>
  <c r="F69" i="2"/>
  <c r="F67" i="2"/>
  <c r="F65" i="2"/>
  <c r="F63" i="2"/>
  <c r="F61" i="2"/>
  <c r="F59" i="2"/>
  <c r="F57" i="2"/>
  <c r="F55" i="2"/>
  <c r="F54" i="2"/>
  <c r="F72" i="2"/>
  <c r="F70" i="2"/>
  <c r="F68" i="2"/>
  <c r="F66" i="2"/>
  <c r="F64" i="2"/>
  <c r="F62" i="2"/>
  <c r="F60" i="2"/>
  <c r="F58" i="2"/>
  <c r="F56" i="2"/>
  <c r="G17" i="1" a="1"/>
  <c r="G17" i="1" s="1"/>
  <c r="H12" i="1"/>
  <c r="G18" i="1" a="1"/>
  <c r="G18" i="1" s="1"/>
  <c r="H9" i="1"/>
  <c r="G9" i="1"/>
  <c r="G11" i="1"/>
  <c r="G15" i="1" a="1"/>
  <c r="G15" i="1" s="1"/>
  <c r="G16" i="1" a="1"/>
  <c r="G16" i="1" s="1"/>
  <c r="I9" i="1"/>
  <c r="I12" i="1"/>
  <c r="G10" i="1"/>
  <c r="G12" i="1"/>
  <c r="D47" i="2" l="1"/>
  <c r="D45" i="2"/>
  <c r="D43" i="2"/>
  <c r="D41" i="2"/>
  <c r="D39" i="2"/>
  <c r="D37" i="2"/>
  <c r="D35" i="2"/>
  <c r="D33" i="2"/>
  <c r="D31" i="2"/>
  <c r="D29" i="2"/>
  <c r="D48" i="2"/>
  <c r="D46" i="2"/>
  <c r="D44" i="2"/>
  <c r="D42" i="2"/>
  <c r="D40" i="2"/>
  <c r="D38" i="2"/>
  <c r="D36" i="2"/>
  <c r="D34" i="2"/>
  <c r="D32" i="2"/>
  <c r="D30" i="2"/>
  <c r="G73" i="2"/>
  <c r="G71" i="2"/>
  <c r="G69" i="2"/>
  <c r="G67" i="2"/>
  <c r="G65" i="2"/>
  <c r="G63" i="2"/>
  <c r="G61" i="2"/>
  <c r="G59" i="2"/>
  <c r="G57" i="2"/>
  <c r="G55" i="2"/>
  <c r="G54" i="2"/>
  <c r="G72" i="2"/>
  <c r="G70" i="2"/>
  <c r="G68" i="2"/>
  <c r="G66" i="2"/>
  <c r="G64" i="2"/>
  <c r="G62" i="2"/>
  <c r="G60" i="2"/>
  <c r="G58" i="2"/>
  <c r="G56" i="2"/>
  <c r="D73" i="2"/>
  <c r="D71" i="2"/>
  <c r="D69" i="2"/>
  <c r="D67" i="2"/>
  <c r="D65" i="2"/>
  <c r="D63" i="2"/>
  <c r="D61" i="2"/>
  <c r="D59" i="2"/>
  <c r="D57" i="2"/>
  <c r="D55" i="2"/>
  <c r="D54" i="2"/>
  <c r="D72" i="2"/>
  <c r="D70" i="2"/>
  <c r="D68" i="2"/>
  <c r="D66" i="2"/>
  <c r="D64" i="2"/>
  <c r="D62" i="2"/>
  <c r="D60" i="2"/>
  <c r="D58" i="2"/>
  <c r="D56" i="2"/>
  <c r="G47" i="2"/>
  <c r="G45" i="2"/>
  <c r="G43" i="2"/>
  <c r="G41" i="2"/>
  <c r="G39" i="2"/>
  <c r="G37" i="2"/>
  <c r="G35" i="2"/>
  <c r="G33" i="2"/>
  <c r="G31" i="2"/>
  <c r="G29" i="2"/>
  <c r="G48" i="2"/>
  <c r="G46" i="2"/>
  <c r="G44" i="2"/>
  <c r="G42" i="2"/>
  <c r="G40" i="2"/>
  <c r="G38" i="2"/>
  <c r="G36" i="2"/>
  <c r="G34" i="2"/>
  <c r="G32" i="2"/>
  <c r="G30" i="2"/>
  <c r="F18" i="2"/>
  <c r="F22" i="2"/>
  <c r="F9" i="2"/>
  <c r="F13" i="2"/>
  <c r="F16" i="2"/>
  <c r="F20" i="2"/>
  <c r="F14" i="2"/>
  <c r="F11" i="2"/>
  <c r="F12" i="2"/>
  <c r="F10" i="2"/>
  <c r="F17" i="2"/>
  <c r="F7" i="2"/>
  <c r="F23" i="2"/>
  <c r="F5" i="2"/>
  <c r="F21" i="2"/>
  <c r="F4" i="2"/>
  <c r="F19" i="2"/>
  <c r="F8" i="2"/>
  <c r="F15" i="2"/>
  <c r="F6" i="2"/>
  <c r="D10" i="2"/>
  <c r="D7" i="2"/>
  <c r="D14" i="2"/>
  <c r="D6" i="2"/>
  <c r="D22" i="2"/>
  <c r="D11" i="2"/>
  <c r="D9" i="2"/>
  <c r="D13" i="2"/>
  <c r="D16" i="2"/>
  <c r="D20" i="2"/>
  <c r="D4" i="2"/>
  <c r="D23" i="2"/>
  <c r="D18" i="2"/>
  <c r="D12" i="2"/>
  <c r="D19" i="2"/>
  <c r="D17" i="2"/>
  <c r="D8" i="2"/>
  <c r="D15" i="2"/>
  <c r="D5" i="2"/>
  <c r="D21" i="2"/>
  <c r="E9" i="2"/>
  <c r="E16" i="2"/>
  <c r="E7" i="2"/>
  <c r="E23" i="2"/>
  <c r="E5" i="2"/>
  <c r="E21" i="2"/>
  <c r="E17" i="2"/>
  <c r="E8" i="2"/>
  <c r="E14" i="2"/>
  <c r="E12" i="2"/>
  <c r="E19" i="2"/>
  <c r="E10" i="2"/>
  <c r="E4" i="2"/>
  <c r="E15" i="2"/>
  <c r="E6" i="2"/>
  <c r="E22" i="2"/>
  <c r="E13" i="2"/>
  <c r="E20" i="2"/>
  <c r="E11" i="2"/>
  <c r="E18" i="2"/>
  <c r="G11" i="2"/>
  <c r="G10" i="2"/>
  <c r="G18" i="2"/>
  <c r="G9" i="2"/>
  <c r="G23" i="2"/>
  <c r="G21" i="2"/>
  <c r="G12" i="2"/>
  <c r="G19" i="2"/>
  <c r="G16" i="2"/>
  <c r="G7" i="2"/>
  <c r="G14" i="2"/>
  <c r="G4" i="2"/>
  <c r="G5" i="2"/>
  <c r="G17" i="2"/>
  <c r="G8" i="2"/>
  <c r="G15" i="2"/>
  <c r="G6" i="2"/>
  <c r="G22" i="2"/>
  <c r="G13" i="2"/>
  <c r="G2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<sst xmlns="http://schemas.openxmlformats.org/spreadsheetml/2006/main" count="94" uniqueCount="57">
  <si>
    <t>Activity_Type</t>
  </si>
  <si>
    <t>Specimen_ID</t>
  </si>
  <si>
    <t>Patient_ID</t>
  </si>
  <si>
    <t>Sample_Type</t>
  </si>
  <si>
    <t>Received_dt</t>
  </si>
  <si>
    <t>Collection_dt</t>
  </si>
  <si>
    <t>Sample_ID</t>
  </si>
  <si>
    <t>Agent_Category</t>
  </si>
  <si>
    <t>Analyte_LOINC</t>
  </si>
  <si>
    <t>Test_dt</t>
  </si>
  <si>
    <t>Result_CODED</t>
  </si>
  <si>
    <t>Result_NUMERIC</t>
  </si>
  <si>
    <t>Unit_Of_Measure</t>
  </si>
  <si>
    <t>Instrument_Type</t>
  </si>
  <si>
    <t>Patient_State</t>
  </si>
  <si>
    <t xml:space="preserve">Patient_County </t>
  </si>
  <si>
    <t>Patient_Zip</t>
  </si>
  <si>
    <t>Patient_DOB</t>
  </si>
  <si>
    <t>Patient_Age</t>
  </si>
  <si>
    <t>Age_Unit</t>
  </si>
  <si>
    <t>Patient_Sex</t>
  </si>
  <si>
    <t>Patient_Race</t>
  </si>
  <si>
    <t>Patient_Ethnicity</t>
  </si>
  <si>
    <t>Analyst</t>
  </si>
  <si>
    <t>Instrument_ID</t>
  </si>
  <si>
    <t>Run_ID</t>
  </si>
  <si>
    <t>R2_Value</t>
  </si>
  <si>
    <t>QC_Material_Lot</t>
  </si>
  <si>
    <t>Comments</t>
  </si>
  <si>
    <t>QCL</t>
  </si>
  <si>
    <t>QCM</t>
  </si>
  <si>
    <t>QCH</t>
  </si>
  <si>
    <t>Mean</t>
  </si>
  <si>
    <t>SD</t>
  </si>
  <si>
    <t>2σ</t>
  </si>
  <si>
    <t>Plus 2σ</t>
  </si>
  <si>
    <r>
      <t>Plus 3</t>
    </r>
    <r>
      <rPr>
        <sz val="11"/>
        <color theme="1"/>
        <rFont val="Aptos Narrow"/>
        <family val="2"/>
      </rPr>
      <t>σ</t>
    </r>
  </si>
  <si>
    <t>Minus 2σ</t>
  </si>
  <si>
    <t>Minus 3σ</t>
  </si>
  <si>
    <t>3σ</t>
  </si>
  <si>
    <t>13s Rule</t>
  </si>
  <si>
    <t>QC Data from Raw</t>
  </si>
  <si>
    <t>General Statistics</t>
  </si>
  <si>
    <t>22s Rule</t>
  </si>
  <si>
    <t>R4s Rule</t>
  </si>
  <si>
    <t>10x Rule</t>
  </si>
  <si>
    <t>First Half</t>
  </si>
  <si>
    <t>Second Half</t>
  </si>
  <si>
    <t>Westgard Rules</t>
  </si>
  <si>
    <t>Date</t>
  </si>
  <si>
    <t>Result</t>
  </si>
  <si>
    <t>SortOrder</t>
  </si>
  <si>
    <r>
      <t>Plus 3</t>
    </r>
    <r>
      <rPr>
        <b/>
        <sz val="12"/>
        <color theme="1"/>
        <rFont val="Aptos Narrow"/>
        <family val="2"/>
      </rPr>
      <t>σ</t>
    </r>
  </si>
  <si>
    <t xml:space="preserve"> QCL</t>
  </si>
  <si>
    <t xml:space="preserve"> QCM</t>
  </si>
  <si>
    <t xml:space="preserve"> QCH</t>
  </si>
  <si>
    <t>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</si>
</sst>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0" borderId="1" xfId="0" applyBorder="1"/>
    <xf numFmtId="22" fontId="0" fillId="0" borderId="1" xfId="0" applyNumberFormat="1" applyBorder="1"/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3" fillId="0" borderId="1" xfId="0" applyFont="1" applyBorder="1"/>
    <xf numFmtId="22" fontId="3" fillId="0" borderId="1" xfId="0" applyNumberFormat="1" applyFont="1" applyBorder="1"/>
    <xf numFmtId="2" fontId="0" fillId="0" borderId="1" xfId="0" applyNumberFormat="1" applyBorder="1"/>
    <xf numFmtId="22" fontId="0" fillId="3" borderId="1" xfId="0" applyNumberFormat="1" applyFill="1" applyBorder="1"/>
    <xf numFmtId="0" fontId="0" fillId="3" borderId="1" xfId="0" applyFill="1" applyBorder="1"/>
    <xf numFmtId="2" fontId="0" fillId="3" borderId="1" xfId="0" applyNumberFormat="1" applyFill="1" applyBorder="1"/>
    <xf numFmtId="2" fontId="0" fillId="2" borderId="0" xfId="0" applyNumberFormat="1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QC Low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988905642113885E-2"/>
          <c:y val="0.1061426827017373"/>
          <c:w val="0.91396854116639659"/>
          <c:h val="0.84726524113395785"/>
        </c:manualLayout>
      </c:layout>
      <c:scatterChart>
        <c:scatterStyle val="lineMarker"/>
        <c:varyColors val="0"/>
        <c:ser>
          <c:idx val="0"/>
          <c:order val="0"/>
          <c:tx>
            <c:v>Result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Charts!$B$4:$B$23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729-4B39-8601-4277657B1258}"/>
            </c:ext>
          </c:extLst>
        </c:ser>
        <c:ser>
          <c:idx val="1"/>
          <c:order val="1"/>
          <c:tx>
            <c:v>mean</c:v>
          </c:tx>
          <c:spPr>
            <a:ln>
              <a:solidFill>
                <a:srgbClr val="002060"/>
              </a:solidFill>
              <a:prstDash val="dash"/>
            </a:ln>
          </c:spPr>
          <c:marker>
            <c:symbol val="none"/>
          </c:marker>
          <c:yVal>
            <c:numRef>
              <c:f>Charts!$C$4:$C$23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729-4B39-8601-4277657B1258}"/>
            </c:ext>
          </c:extLst>
        </c:ser>
        <c:ser>
          <c:idx val="2"/>
          <c:order val="2"/>
          <c:tx>
            <c:v>+2sig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yVal>
            <c:numRef>
              <c:f>Charts!$D$4:$D$23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729-4B39-8601-4277657B1258}"/>
            </c:ext>
          </c:extLst>
        </c:ser>
        <c:ser>
          <c:idx val="3"/>
          <c:order val="3"/>
          <c:tx>
            <c:v>+3sig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yVal>
            <c:numRef>
              <c:f>Charts!$E$4:$E$23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729-4B39-8601-4277657B1258}"/>
            </c:ext>
          </c:extLst>
        </c:ser>
        <c:ser>
          <c:idx val="4"/>
          <c:order val="4"/>
          <c:tx>
            <c:v>-2sig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yVal>
            <c:numRef>
              <c:f>Charts!$F$4:$F$23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729-4B39-8601-4277657B1258}"/>
            </c:ext>
          </c:extLst>
        </c:ser>
        <c:ser>
          <c:idx val="5"/>
          <c:order val="5"/>
          <c:tx>
            <c:v>-3sig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yVal>
            <c:numRef>
              <c:f>Charts!$G$4:$G$23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729-4B39-8601-4277657B1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649088"/>
        <c:axId val="2098649568"/>
      </c:scatterChart>
      <c:valAx>
        <c:axId val="2098649088"/>
        <c:scaling>
          <c:orientation val="minMax"/>
          <c:max val="21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out"/>
        <c:minorTickMark val="none"/>
        <c:tickLblPos val="nextTo"/>
        <c:crossAx val="2098649568"/>
        <c:crosses val="autoZero"/>
        <c:crossBetween val="midCat"/>
      </c:valAx>
      <c:valAx>
        <c:axId val="2098649568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209864908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QC Medium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result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Charts!$B$29:$B$48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6-4172-B1AF-EE4BB1DAA5E5}"/>
            </c:ext>
          </c:extLst>
        </c:ser>
        <c:ser>
          <c:idx val="1"/>
          <c:order val="1"/>
          <c:tx>
            <c:v>mean</c:v>
          </c:tx>
          <c:spPr>
            <a:ln w="3810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yVal>
            <c:numRef>
              <c:f>Charts!$C$29:$C$48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06-4172-B1AF-EE4BB1DAA5E5}"/>
            </c:ext>
          </c:extLst>
        </c:ser>
        <c:ser>
          <c:idx val="2"/>
          <c:order val="2"/>
          <c:tx>
            <c:v>+2sig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yVal>
            <c:numRef>
              <c:f>Charts!$D$29:$D$48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06-4172-B1AF-EE4BB1DAA5E5}"/>
            </c:ext>
          </c:extLst>
        </c:ser>
        <c:ser>
          <c:idx val="3"/>
          <c:order val="3"/>
          <c:tx>
            <c:v>+3sig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Charts!$E$29:$E$48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06-4172-B1AF-EE4BB1DAA5E5}"/>
            </c:ext>
          </c:extLst>
        </c:ser>
        <c:ser>
          <c:idx val="4"/>
          <c:order val="4"/>
          <c:tx>
            <c:v>-2sig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yVal>
            <c:numRef>
              <c:f>Charts!$F$29:$F$48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06-4172-B1AF-EE4BB1DAA5E5}"/>
            </c:ext>
          </c:extLst>
        </c:ser>
        <c:ser>
          <c:idx val="5"/>
          <c:order val="5"/>
          <c:tx>
            <c:v>-3sig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Charts!$G$29:$G$48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06-4172-B1AF-EE4BB1DAA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148000"/>
        <c:axId val="2107145600"/>
      </c:scatterChart>
      <c:valAx>
        <c:axId val="2107148000"/>
        <c:scaling>
          <c:orientation val="minMax"/>
          <c:max val="21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2107145600"/>
        <c:crosses val="autoZero"/>
        <c:crossBetween val="midCat"/>
      </c:valAx>
      <c:valAx>
        <c:axId val="2107145600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14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QC</a:t>
            </a:r>
            <a:r>
              <a:rPr lang="en-US" baseline="0"/>
              <a:t> High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Results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Charts!$B$54:$B$73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B1-43E2-8537-A84E3952FE81}"/>
            </c:ext>
          </c:extLst>
        </c:ser>
        <c:ser>
          <c:idx val="1"/>
          <c:order val="1"/>
          <c:tx>
            <c:v>mean</c:v>
          </c:tx>
          <c:spPr>
            <a:ln w="3810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yVal>
            <c:numRef>
              <c:f>Charts!$C$54:$C$73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B1-43E2-8537-A84E3952FE81}"/>
            </c:ext>
          </c:extLst>
        </c:ser>
        <c:ser>
          <c:idx val="2"/>
          <c:order val="2"/>
          <c:tx>
            <c:v>+2sig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yVal>
            <c:numRef>
              <c:f>Charts!$D$54:$D$73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B1-43E2-8537-A84E3952FE81}"/>
            </c:ext>
          </c:extLst>
        </c:ser>
        <c:ser>
          <c:idx val="3"/>
          <c:order val="3"/>
          <c:tx>
            <c:v>+3sig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Charts!$E$54:$E$73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B1-43E2-8537-A84E3952FE81}"/>
            </c:ext>
          </c:extLst>
        </c:ser>
        <c:ser>
          <c:idx val="4"/>
          <c:order val="4"/>
          <c:tx>
            <c:v>-2sig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yVal>
            <c:numRef>
              <c:f>Charts!$F$54:$F$73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B1-43E2-8537-A84E3952FE81}"/>
            </c:ext>
          </c:extLst>
        </c:ser>
        <c:ser>
          <c:idx val="5"/>
          <c:order val="5"/>
          <c:tx>
            <c:v>-3sig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Charts!$G$54:$G$73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B1-43E2-8537-A84E3952F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80192"/>
        <c:axId val="133979232"/>
      </c:scatterChart>
      <c:valAx>
        <c:axId val="133980192"/>
        <c:scaling>
          <c:orientation val="minMax"/>
          <c:max val="21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3979232"/>
        <c:crosses val="autoZero"/>
        <c:crossBetween val="midCat"/>
      </c:valAx>
      <c:valAx>
        <c:axId val="133979232"/>
        <c:scaling>
          <c:orientation val="minMax"/>
          <c:min val="11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609599</xdr:colOff>
      <xdr:row>1</xdr:row>
      <xdr:rowOff>180976</xdr:rowOff>
    </xdr:from>
    <xdr:to>
      <xdr:col>14</xdr:col>
      <xdr:colOff>381000</xdr:colOff>
      <xdr:row>23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1FF1A1-63D6-86C3-45BB-C61EAFD3F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609599</xdr:colOff>
      <xdr:row>26</xdr:row>
      <xdr:rowOff>185736</xdr:rowOff>
    </xdr:from>
    <xdr:to>
      <xdr:col>14</xdr:col>
      <xdr:colOff>409575</xdr:colOff>
      <xdr:row>48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A46BBE9-6A17-204D-7994-CD846569A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14286</xdr:colOff>
      <xdr:row>52</xdr:row>
      <xdr:rowOff>14286</xdr:rowOff>
    </xdr:from>
    <xdr:to>
      <xdr:col>14</xdr:col>
      <xdr:colOff>438150</xdr:colOff>
      <xdr:row>73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D1E237-17FC-8500-2143-D80726297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29998-4F95-478F-AA90-D7A9277E56A7}" name="Table1" displayName="Table1" ref="A1:AD64" totalsRowShown="0">
  <autoFilter ref="A1:AD64" xr:uid="{C3529998-4F95-478F-AA90-D7A9277E56A7}"/>
  <sortState xmlns:xlrd2="http://schemas.microsoft.com/office/spreadsheetml/2017/richdata2" ref="A2:AD64">
    <sortCondition ref="D2:D64" customList="QCL,QCM,QCH"/>
  </sortState>
  <tableColumns count="30">
    <tableColumn id="1" xr3:uid="{4B7E41AE-2A39-4FBB-A4B6-495E53E81801}" name="Activity_Type"/>
    <tableColumn id="2" xr3:uid="{57059575-21C0-4D1E-8947-3365A13DEB66}" name="Specimen_ID"/>
    <tableColumn id="3" xr3:uid="{7A9412B4-8825-4DE4-9EA7-D1D6F3C6CDAA}" name="Patient_ID"/>
    <tableColumn id="4" xr3:uid="{0890D935-790F-4AC4-8F9B-BCF90DA50C16}" name="Sample_Type"/>
    <tableColumn id="5" xr3:uid="{88207D49-A1C0-4F09-84E4-5EA63D06764F}" name="Received_dt" dataDxfId="12"/>
    <tableColumn id="6" xr3:uid="{C232FDC4-E554-4D93-BECF-A958946E7A24}" name="Collection_dt"/>
    <tableColumn id="7" xr3:uid="{7C2D99F8-47BE-4694-87D2-84629D24EF97}" name="Sample_ID"/>
    <tableColumn id="8" xr3:uid="{11274C81-EA73-48F9-B58B-391A390DCF0F}" name="Agent_Category"/>
    <tableColumn id="9" xr3:uid="{89D602E1-D0D1-41AB-99EE-2C20402534F3}" name="Analyte_LOINC"/>
    <tableColumn id="10" xr3:uid="{9989450C-CB28-4572-878D-8BD30342F4E3}" name="Test_dt" dataDxfId="11"/>
    <tableColumn id="11" xr3:uid="{087D680A-16AC-48A8-B6E2-FC112A93D32A}" name="Result_CODED"/>
    <tableColumn id="12" xr3:uid="{50F0763A-CDCC-41B0-993D-6129B3040049}" name="Result_NUMERIC"/>
    <tableColumn id="13" xr3:uid="{D3EFCD0F-F19E-49B4-89A5-0C0309AEE295}" name="Unit_Of_Measure"/>
    <tableColumn id="14" xr3:uid="{F0BEAF07-A6C5-4889-B182-0796239781B1}" name="Instrument_Type"/>
    <tableColumn id="15" xr3:uid="{7237C60C-17E0-49CE-A003-A7C093507EC0}" name="Patient_State"/>
    <tableColumn id="16" xr3:uid="{99DA58C0-840D-4987-86EE-6094D1EC857C}" name="Patient_County "/>
    <tableColumn id="17" xr3:uid="{A7C9B467-6BE4-4A47-A124-6AA49A51A662}" name="Patient_Zip"/>
    <tableColumn id="18" xr3:uid="{0DF4CE06-9CB1-48D8-8C06-100233009845}" name="Patient_DOB"/>
    <tableColumn id="19" xr3:uid="{F1C02D3F-4874-42C6-8E97-5F36CB43D869}" name="Patient_Age"/>
    <tableColumn id="20" xr3:uid="{C8B6E8F0-C2A5-4388-9819-346056064D85}" name="Age_Unit"/>
    <tableColumn id="21" xr3:uid="{E64C8DAE-4CDA-4EE0-BED5-A7A898A13BB5}" name="Patient_Sex"/>
    <tableColumn id="22" xr3:uid="{DD05C8DE-2CDD-4C69-B314-567080579E09}" name="Patient_Race"/>
    <tableColumn id="23" xr3:uid="{26F18AFA-BE2A-4A60-BDE7-B0FAC78AA705}" name="Patient_Ethnicity"/>
    <tableColumn id="24" xr3:uid="{B1C170F2-F12C-448A-97F2-67465A07AAB2}" name="Analyst"/>
    <tableColumn id="25" xr3:uid="{1636839F-BFC2-4958-AC85-6753384F83B4}" name="Instrument_ID"/>
    <tableColumn id="26" xr3:uid="{942B5FAC-C9F2-400A-AFB9-07331EFA8E5F}" name="Run_ID"/>
    <tableColumn id="27" xr3:uid="{98AE0B1F-C683-48C0-983D-9D45A5494CD9}" name="R2_Value"/>
    <tableColumn id="28" xr3:uid="{421B3E16-4E23-4E78-AEAB-C3E84AC3CB10}" name="QC_Material_Lot"/>
    <tableColumn id="29" xr3:uid="{9D5798C2-5988-43B4-929D-86719474713D}" name="Comments"/>
    <tableColumn id="30" xr3:uid="{B28AF124-49EF-436B-BB68-D6A1C3AD10AF}" name="SortOrder" dataDxfId="10">
      <calculatedColumnFormula>MATCH(G:G,{"QL","QM","QH"},0)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7BC9-3591-4B0F-B868-EB19599AB07D}">
  <dimension ref="A1:AE66"/>
  <sheetViews>
    <sheetView zoomScale="130" zoomScaleNormal="130" workbookViewId="0">
      <selection activeCell="W14" sqref="W14"/>
    </sheetView>
  </sheetViews>
  <sheetFormatPr defaultRowHeight="15" x14ac:dyDescent="0.25"/>
  <cols>
    <col min="1" max="1" width="19.140625" customWidth="1"/>
    <col min="6" max="6" width="15.5703125" bestFit="1" customWidth="1"/>
    <col min="7" max="8" width="9.5703125" bestFit="1" customWidth="1"/>
    <col min="9" max="9" width="10.5703125" bestFit="1" customWidth="1"/>
    <col min="10" max="10" width="8.7109375" hidden="1" customWidth="1"/>
    <col min="11" max="11" width="15.5703125" hidden="1" customWidth="1"/>
    <col min="12" max="15" width="9.140625" hidden="1" customWidth="1"/>
    <col min="16" max="16" width="15.5703125" hidden="1" customWidth="1"/>
    <col min="17" max="18" width="9.140625" hidden="1" customWidth="1"/>
    <col min="19" max="19" width="7.5703125" hidden="1" customWidth="1"/>
    <col min="20" max="20" width="8.7109375" hidden="1" customWidth="1"/>
  </cols>
  <sheetData>
    <row r="1" spans="1:31" ht="18.75" x14ac:dyDescent="0.3">
      <c r="A1" s="25" t="s">
        <v>41</v>
      </c>
      <c r="B1" s="25"/>
      <c r="C1" s="25"/>
      <c r="D1" s="25"/>
      <c r="E1" s="2"/>
      <c r="F1" s="25" t="s">
        <v>42</v>
      </c>
      <c r="G1" s="25"/>
      <c r="H1" s="25"/>
      <c r="I1" s="25"/>
      <c r="J1" s="2"/>
      <c r="K1" s="26" t="s">
        <v>40</v>
      </c>
      <c r="L1" s="26"/>
      <c r="M1" s="26"/>
      <c r="N1" s="26"/>
      <c r="P1" s="26" t="s">
        <v>45</v>
      </c>
      <c r="Q1" s="26"/>
      <c r="R1" s="26"/>
      <c r="S1" s="26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8.75" x14ac:dyDescent="0.3">
      <c r="A2" s="8" t="s">
        <v>56</v>
      </c>
      <c r="B2" s="8" t="s">
        <v>29</v>
      </c>
      <c r="C2" s="8" t="s">
        <v>30</v>
      </c>
      <c r="D2" s="8" t="s">
        <v>31</v>
      </c>
      <c r="E2" s="2"/>
      <c r="F2" s="8"/>
      <c r="G2" s="8" t="s">
        <v>29</v>
      </c>
      <c r="H2" s="8" t="s">
        <v>30</v>
      </c>
      <c r="I2" s="8" t="s">
        <v>31</v>
      </c>
      <c r="J2" s="2"/>
      <c r="L2" t="s">
        <v>29</v>
      </c>
      <c r="M2" t="s">
        <v>30</v>
      </c>
      <c r="N2" t="s">
        <v>31</v>
      </c>
      <c r="Q2" t="s">
        <v>29</v>
      </c>
      <c r="R2" t="s">
        <v>30</v>
      </c>
      <c r="S2" t="s">
        <v>31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5">
      <c r="A3" s="7">
        <f>'RAW DATA'!J2</f>
        <v>0</v>
      </c>
      <c r="B3" s="6">
        <f>'RAW DATA'!L2</f>
        <v>0</v>
      </c>
      <c r="C3" s="6">
        <f>'RAW DATA'!L22</f>
        <v>0</v>
      </c>
      <c r="D3" s="6">
        <f>'RAW DATA'!L42</f>
        <v>0</v>
      </c>
      <c r="E3" s="2"/>
      <c r="F3" s="4" t="s">
        <v>32</v>
      </c>
      <c r="G3" s="11">
        <f>AVERAGE(B3:B22)</f>
        <v>0</v>
      </c>
      <c r="H3" s="11">
        <f t="shared" ref="H3:I3" si="0">AVERAGE(C3:C22)</f>
        <v>0</v>
      </c>
      <c r="I3" s="11">
        <f t="shared" si="0"/>
        <v>0</v>
      </c>
      <c r="J3" s="2"/>
      <c r="K3" s="1">
        <f t="shared" ref="K3:K22" si="1">A3</f>
        <v>0</v>
      </c>
      <c r="L3" t="str">
        <f t="shared" ref="L3:L22" si="2">IF(OR(ABS(B3-$G$3)&gt;3*$G$4),"FAIL","PASS")</f>
        <v>PASS</v>
      </c>
      <c r="M3" t="str">
        <f t="shared" ref="M3:M22" si="3">IF(OR(ABS(C3-$H$3)&gt;3*$H$4),"FAIL","PASS")</f>
        <v>PASS</v>
      </c>
      <c r="N3" t="str">
        <f t="shared" ref="N3:N22" si="4">IF(OR(ABS(D3-$I$3)&gt;3*$I$4),"FAIL","PASS")</f>
        <v>PASS</v>
      </c>
      <c r="P3" s="1" t="s">
        <v>46</v>
      </c>
      <c r="Q3" t="str" cm="1">
        <f t="array" ref="Q3">IF(OR(
ABS(SUMPRODUCT(SIGN(B3:B12-$G$3)))=10,
),"FAIL","PASS")</f>
        <v>PASS</v>
      </c>
      <c r="R3" t="str" cm="1">
        <f t="array" ref="R3">IF(OR(
ABS(SUMPRODUCT(SIGN(C3:C12-$H$3)))=10,
),"FAIL","PASS")</f>
        <v>PASS</v>
      </c>
      <c r="S3" t="str" cm="1">
        <f t="array" ref="S3">IF(OR(
ABS(SUMPRODUCT(SIGN(D3:D12-$I$3)))=10,
),"FAIL","PASS")</f>
        <v>PASS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5">
      <c r="A4" s="9">
        <f>'RAW DATA'!J3</f>
        <v>0</v>
      </c>
      <c r="B4" s="10">
        <f>'RAW DATA'!L3</f>
        <v>0</v>
      </c>
      <c r="C4" s="10">
        <f>'RAW DATA'!L23</f>
        <v>0</v>
      </c>
      <c r="D4" s="10">
        <f>'RAW DATA'!L43</f>
        <v>0</v>
      </c>
      <c r="E4" s="2"/>
      <c r="F4" s="4" t="s">
        <v>33</v>
      </c>
      <c r="G4" s="12">
        <f>_xlfn.STDEV.P(B3:B22)</f>
        <v>0</v>
      </c>
      <c r="H4" s="12">
        <f t="shared" ref="H4:I4" si="5">_xlfn.STDEV.P(C3:C22)</f>
        <v>0</v>
      </c>
      <c r="I4" s="12">
        <f t="shared" si="5"/>
        <v>0</v>
      </c>
      <c r="J4" s="2"/>
      <c r="K4" s="1">
        <f t="shared" si="1"/>
        <v>0</v>
      </c>
      <c r="L4" t="str">
        <f t="shared" si="2"/>
        <v>PASS</v>
      </c>
      <c r="M4" t="str">
        <f t="shared" si="3"/>
        <v>PASS</v>
      </c>
      <c r="N4" t="str">
        <f t="shared" si="4"/>
        <v>PASS</v>
      </c>
      <c r="P4" s="1" t="s">
        <v>47</v>
      </c>
      <c r="Q4" t="str" cm="1">
        <f t="array" ref="Q4">IF(OR(
ABS(SUMPRODUCT(SIGN(B4:B13-$G$3)))=10,
),"FAIL","PASS")</f>
        <v>PASS</v>
      </c>
      <c r="R4" t="str" cm="1">
        <f t="array" ref="R4">IF(OR(
ABS(SUMPRODUCT(SIGN(C4:C13-$H$3)))=10,
),"FAIL","PASS")</f>
        <v>PASS</v>
      </c>
      <c r="S4" t="str" cm="1">
        <f t="array" ref="S4">IF(OR(
ABS(SUMPRODUCT(SIGN(D4:D13-$I$3)))=10,
),"FAIL","PASS")</f>
        <v>PASS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5">
      <c r="A5" s="7">
        <f>'RAW DATA'!J4</f>
        <v>0</v>
      </c>
      <c r="B5" s="6">
        <f>'RAW DATA'!L4</f>
        <v>0</v>
      </c>
      <c r="C5" s="6">
        <f>'RAW DATA'!L24</f>
        <v>0</v>
      </c>
      <c r="D5" s="6">
        <f>'RAW DATA'!L44</f>
        <v>0</v>
      </c>
      <c r="E5" s="2"/>
      <c r="F5" s="2"/>
      <c r="G5" s="2"/>
      <c r="H5" s="2"/>
      <c r="I5" s="2"/>
      <c r="J5" s="2"/>
      <c r="K5" s="1">
        <f t="shared" si="1"/>
        <v>0</v>
      </c>
      <c r="L5" t="str">
        <f t="shared" si="2"/>
        <v>PASS</v>
      </c>
      <c r="M5" t="str">
        <f t="shared" si="3"/>
        <v>PASS</v>
      </c>
      <c r="N5" t="str">
        <f t="shared" si="4"/>
        <v>PASS</v>
      </c>
      <c r="P5" s="1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5">
      <c r="A6" s="9">
        <f>'RAW DATA'!J5</f>
        <v>0</v>
      </c>
      <c r="B6" s="10">
        <f>'RAW DATA'!L5</f>
        <v>0</v>
      </c>
      <c r="C6" s="10">
        <f>'RAW DATA'!L25</f>
        <v>0</v>
      </c>
      <c r="D6" s="10">
        <f>'RAW DATA'!L45</f>
        <v>0</v>
      </c>
      <c r="E6" s="2"/>
      <c r="F6" s="4" t="s">
        <v>34</v>
      </c>
      <c r="G6" s="11">
        <f>G4*2</f>
        <v>0</v>
      </c>
      <c r="H6" s="11">
        <f t="shared" ref="H6:I6" si="6">H4*2</f>
        <v>0</v>
      </c>
      <c r="I6" s="11">
        <f t="shared" si="6"/>
        <v>0</v>
      </c>
      <c r="J6" s="2"/>
      <c r="K6" s="1">
        <f t="shared" si="1"/>
        <v>0</v>
      </c>
      <c r="L6" t="str">
        <f t="shared" si="2"/>
        <v>PASS</v>
      </c>
      <c r="M6" t="str">
        <f t="shared" si="3"/>
        <v>PASS</v>
      </c>
      <c r="N6" t="str">
        <f t="shared" si="4"/>
        <v>PASS</v>
      </c>
      <c r="P6" s="26" t="s">
        <v>44</v>
      </c>
      <c r="Q6" s="26"/>
      <c r="R6" s="26"/>
      <c r="S6" s="26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5">
      <c r="A7" s="7">
        <f>'RAW DATA'!J6</f>
        <v>0</v>
      </c>
      <c r="B7" s="6">
        <f>'RAW DATA'!L6</f>
        <v>0</v>
      </c>
      <c r="C7" s="6">
        <f>'RAW DATA'!L26</f>
        <v>0</v>
      </c>
      <c r="D7" s="6">
        <f>'RAW DATA'!L46</f>
        <v>0</v>
      </c>
      <c r="E7" s="2"/>
      <c r="F7" s="4" t="s">
        <v>39</v>
      </c>
      <c r="G7" s="12">
        <f>G4*3</f>
        <v>0</v>
      </c>
      <c r="H7" s="12">
        <f t="shared" ref="H7:I7" si="7">H4*3</f>
        <v>0</v>
      </c>
      <c r="I7" s="12">
        <f t="shared" si="7"/>
        <v>0</v>
      </c>
      <c r="J7" s="2"/>
      <c r="K7" s="1">
        <f t="shared" si="1"/>
        <v>0</v>
      </c>
      <c r="L7" t="str">
        <f t="shared" si="2"/>
        <v>PASS</v>
      </c>
      <c r="M7" t="str">
        <f t="shared" si="3"/>
        <v>PASS</v>
      </c>
      <c r="N7" t="str">
        <f t="shared" si="4"/>
        <v>PASS</v>
      </c>
      <c r="Q7" t="s">
        <v>29</v>
      </c>
      <c r="R7" t="s">
        <v>30</v>
      </c>
      <c r="S7" t="s">
        <v>31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5">
      <c r="A8" s="9">
        <f>'RAW DATA'!J7</f>
        <v>0</v>
      </c>
      <c r="B8" s="10">
        <f>'RAW DATA'!L7</f>
        <v>0</v>
      </c>
      <c r="C8" s="10">
        <f>'RAW DATA'!L27</f>
        <v>0</v>
      </c>
      <c r="D8" s="10">
        <f>'RAW DATA'!L47</f>
        <v>0</v>
      </c>
      <c r="E8" s="2"/>
      <c r="F8" s="2"/>
      <c r="G8" s="2"/>
      <c r="H8" s="2"/>
      <c r="I8" s="2"/>
      <c r="J8" s="2"/>
      <c r="K8" s="1">
        <f t="shared" si="1"/>
        <v>0</v>
      </c>
      <c r="L8" t="str">
        <f t="shared" si="2"/>
        <v>PASS</v>
      </c>
      <c r="M8" t="str">
        <f t="shared" si="3"/>
        <v>PASS</v>
      </c>
      <c r="N8" t="str">
        <f t="shared" si="4"/>
        <v>PASS</v>
      </c>
      <c r="P8" s="1">
        <f t="shared" ref="P8:P27" si="8">A3</f>
        <v>0</v>
      </c>
      <c r="Q8" t="str">
        <f>IF(OR(
ABS(B4-B3)&gt;=4*$G$3,
),"FAIL","PASS")</f>
        <v>FAIL</v>
      </c>
      <c r="R8" t="str">
        <f>IF(OR(
ABS(C4-C3)&gt;=4*$H$3,
),"FAIL","PASS")</f>
        <v>FAIL</v>
      </c>
      <c r="S8" t="str">
        <f>IF(OR(
ABS(D4-D3)&gt;=4*$I$3,
),"FAIL","PASS")</f>
        <v>FAIL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5">
      <c r="A9" s="7">
        <f>'RAW DATA'!J8</f>
        <v>0</v>
      </c>
      <c r="B9" s="6">
        <f>'RAW DATA'!L8</f>
        <v>0</v>
      </c>
      <c r="C9" s="6">
        <f>'RAW DATA'!L28</f>
        <v>0</v>
      </c>
      <c r="D9" s="6">
        <f>'RAW DATA'!L48</f>
        <v>0</v>
      </c>
      <c r="E9" s="2"/>
      <c r="F9" s="4" t="s">
        <v>35</v>
      </c>
      <c r="G9" s="11">
        <f>G3+G6</f>
        <v>0</v>
      </c>
      <c r="H9" s="11">
        <f t="shared" ref="H9:I9" si="9">H3+H6</f>
        <v>0</v>
      </c>
      <c r="I9" s="11">
        <f t="shared" si="9"/>
        <v>0</v>
      </c>
      <c r="J9" s="2"/>
      <c r="K9" s="1">
        <f t="shared" si="1"/>
        <v>0</v>
      </c>
      <c r="L9" t="str">
        <f t="shared" si="2"/>
        <v>PASS</v>
      </c>
      <c r="M9" t="str">
        <f t="shared" si="3"/>
        <v>PASS</v>
      </c>
      <c r="N9" t="str">
        <f t="shared" si="4"/>
        <v>PASS</v>
      </c>
      <c r="P9" s="1">
        <f t="shared" si="8"/>
        <v>0</v>
      </c>
      <c r="Q9" t="str">
        <f t="shared" ref="Q9:Q27" si="10">IF(OR(
ABS(B5-B4)&gt;=4*$G$3,
),"FAIL","PASS")</f>
        <v>FAIL</v>
      </c>
      <c r="R9" t="str">
        <f t="shared" ref="R9:R27" si="11">IF(OR(
ABS(C5-C4)&gt;=4*$H$3,
),"FAIL","PASS")</f>
        <v>FAIL</v>
      </c>
      <c r="S9" t="str">
        <f t="shared" ref="S9:S27" si="12">IF(OR(
ABS(D5-D4)&gt;=4*$I$3,
),"FAIL","PASS")</f>
        <v>FAIL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5">
      <c r="A10" s="9">
        <f>'RAW DATA'!J9</f>
        <v>0</v>
      </c>
      <c r="B10" s="10">
        <f>'RAW DATA'!L9</f>
        <v>0</v>
      </c>
      <c r="C10" s="10">
        <f>'RAW DATA'!L29</f>
        <v>0</v>
      </c>
      <c r="D10" s="10">
        <f>'RAW DATA'!L49</f>
        <v>0</v>
      </c>
      <c r="E10" s="2"/>
      <c r="F10" s="4" t="s">
        <v>36</v>
      </c>
      <c r="G10" s="12">
        <f>G3+G7</f>
        <v>0</v>
      </c>
      <c r="H10" s="12">
        <f t="shared" ref="H10:I10" si="13">H3+H7</f>
        <v>0</v>
      </c>
      <c r="I10" s="12">
        <f t="shared" si="13"/>
        <v>0</v>
      </c>
      <c r="J10" s="2"/>
      <c r="K10" s="1">
        <f t="shared" si="1"/>
        <v>0</v>
      </c>
      <c r="L10" t="str">
        <f t="shared" si="2"/>
        <v>PASS</v>
      </c>
      <c r="M10" t="str">
        <f t="shared" si="3"/>
        <v>PASS</v>
      </c>
      <c r="N10" t="str">
        <f t="shared" si="4"/>
        <v>PASS</v>
      </c>
      <c r="P10" s="1">
        <f t="shared" si="8"/>
        <v>0</v>
      </c>
      <c r="Q10" t="str">
        <f t="shared" si="10"/>
        <v>FAIL</v>
      </c>
      <c r="R10" t="str">
        <f t="shared" si="11"/>
        <v>FAIL</v>
      </c>
      <c r="S10" t="str">
        <f t="shared" si="12"/>
        <v>FAIL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5">
      <c r="A11" s="7">
        <f>'RAW DATA'!J10</f>
        <v>0</v>
      </c>
      <c r="B11" s="6">
        <f>'RAW DATA'!L10</f>
        <v>0</v>
      </c>
      <c r="C11" s="6">
        <f>'RAW DATA'!L30</f>
        <v>0</v>
      </c>
      <c r="D11" s="6">
        <f>'RAW DATA'!L50</f>
        <v>0</v>
      </c>
      <c r="E11" s="2"/>
      <c r="F11" s="4" t="s">
        <v>37</v>
      </c>
      <c r="G11" s="11">
        <f>G3-G6</f>
        <v>0</v>
      </c>
      <c r="H11" s="11">
        <f t="shared" ref="H11:I11" si="14">H3-H6</f>
        <v>0</v>
      </c>
      <c r="I11" s="11">
        <f t="shared" si="14"/>
        <v>0</v>
      </c>
      <c r="J11" s="2"/>
      <c r="K11" s="1">
        <f t="shared" si="1"/>
        <v>0</v>
      </c>
      <c r="L11" t="str">
        <f t="shared" si="2"/>
        <v>PASS</v>
      </c>
      <c r="M11" t="str">
        <f t="shared" si="3"/>
        <v>PASS</v>
      </c>
      <c r="N11" t="str">
        <f t="shared" si="4"/>
        <v>PASS</v>
      </c>
      <c r="P11" s="1">
        <f t="shared" si="8"/>
        <v>0</v>
      </c>
      <c r="Q11" t="str">
        <f t="shared" si="10"/>
        <v>FAIL</v>
      </c>
      <c r="R11" t="str">
        <f t="shared" si="11"/>
        <v>FAIL</v>
      </c>
      <c r="S11" t="str">
        <f t="shared" si="12"/>
        <v>FAIL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5">
      <c r="A12" s="9">
        <f>'RAW DATA'!J11</f>
        <v>0</v>
      </c>
      <c r="B12" s="10">
        <f>'RAW DATA'!L11</f>
        <v>0</v>
      </c>
      <c r="C12" s="10">
        <f>'RAW DATA'!L31</f>
        <v>0</v>
      </c>
      <c r="D12" s="10">
        <f>'RAW DATA'!L51</f>
        <v>0</v>
      </c>
      <c r="E12" s="2"/>
      <c r="F12" s="4" t="s">
        <v>38</v>
      </c>
      <c r="G12" s="12">
        <f>G3-G7</f>
        <v>0</v>
      </c>
      <c r="H12" s="12">
        <f t="shared" ref="H12:I12" si="15">H3-H7</f>
        <v>0</v>
      </c>
      <c r="I12" s="12">
        <f t="shared" si="15"/>
        <v>0</v>
      </c>
      <c r="J12" s="2"/>
      <c r="K12" s="1">
        <f t="shared" si="1"/>
        <v>0</v>
      </c>
      <c r="L12" t="str">
        <f t="shared" si="2"/>
        <v>PASS</v>
      </c>
      <c r="M12" t="str">
        <f t="shared" si="3"/>
        <v>PASS</v>
      </c>
      <c r="N12" t="str">
        <f t="shared" si="4"/>
        <v>PASS</v>
      </c>
      <c r="P12" s="1">
        <f t="shared" si="8"/>
        <v>0</v>
      </c>
      <c r="Q12" t="str">
        <f t="shared" si="10"/>
        <v>FAIL</v>
      </c>
      <c r="R12" t="str">
        <f t="shared" si="11"/>
        <v>FAIL</v>
      </c>
      <c r="S12" t="str">
        <f t="shared" si="12"/>
        <v>FAIL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5">
      <c r="A13" s="7">
        <f>'RAW DATA'!J12</f>
        <v>0</v>
      </c>
      <c r="B13" s="6">
        <f>'RAW DATA'!L12</f>
        <v>0</v>
      </c>
      <c r="C13" s="6">
        <f>'RAW DATA'!L32</f>
        <v>0</v>
      </c>
      <c r="D13" s="6">
        <f>'RAW DATA'!L52</f>
        <v>0</v>
      </c>
      <c r="E13" s="2"/>
      <c r="F13" s="2"/>
      <c r="G13" s="2"/>
      <c r="H13" s="2"/>
      <c r="I13" s="2"/>
      <c r="J13" s="2"/>
      <c r="K13" s="1">
        <f t="shared" si="1"/>
        <v>0</v>
      </c>
      <c r="L13" t="str">
        <f t="shared" si="2"/>
        <v>PASS</v>
      </c>
      <c r="M13" t="str">
        <f t="shared" si="3"/>
        <v>PASS</v>
      </c>
      <c r="N13" t="str">
        <f t="shared" si="4"/>
        <v>PASS</v>
      </c>
      <c r="P13" s="1">
        <f t="shared" si="8"/>
        <v>0</v>
      </c>
      <c r="Q13" t="str">
        <f t="shared" si="10"/>
        <v>FAIL</v>
      </c>
      <c r="R13" t="str">
        <f t="shared" si="11"/>
        <v>FAIL</v>
      </c>
      <c r="S13" t="str">
        <f t="shared" si="12"/>
        <v>FAIL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.75" x14ac:dyDescent="0.3">
      <c r="A14" s="9">
        <f>'RAW DATA'!J13</f>
        <v>0</v>
      </c>
      <c r="B14" s="10">
        <f>'RAW DATA'!L13</f>
        <v>0</v>
      </c>
      <c r="C14" s="10">
        <f>'RAW DATA'!L33</f>
        <v>0</v>
      </c>
      <c r="D14" s="10">
        <f>'RAW DATA'!L53</f>
        <v>0</v>
      </c>
      <c r="E14" s="2"/>
      <c r="F14" s="25" t="s">
        <v>48</v>
      </c>
      <c r="G14" s="25"/>
      <c r="H14" s="25"/>
      <c r="I14" s="25"/>
      <c r="J14" s="2"/>
      <c r="K14" s="1">
        <f t="shared" si="1"/>
        <v>0</v>
      </c>
      <c r="L14" t="str">
        <f t="shared" si="2"/>
        <v>PASS</v>
      </c>
      <c r="M14" t="str">
        <f t="shared" si="3"/>
        <v>PASS</v>
      </c>
      <c r="N14" t="str">
        <f t="shared" si="4"/>
        <v>PASS</v>
      </c>
      <c r="P14" s="1">
        <f t="shared" si="8"/>
        <v>0</v>
      </c>
      <c r="Q14" t="str">
        <f t="shared" si="10"/>
        <v>FAIL</v>
      </c>
      <c r="R14" t="str">
        <f t="shared" si="11"/>
        <v>FAIL</v>
      </c>
      <c r="S14" t="str">
        <f t="shared" si="12"/>
        <v>FAIL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.75" x14ac:dyDescent="0.25">
      <c r="A15" s="7">
        <f>'RAW DATA'!J14</f>
        <v>0</v>
      </c>
      <c r="B15" s="6">
        <f>'RAW DATA'!L14</f>
        <v>0</v>
      </c>
      <c r="C15" s="6">
        <f>'RAW DATA'!L34</f>
        <v>0</v>
      </c>
      <c r="D15" s="6">
        <f>'RAW DATA'!L54</f>
        <v>0</v>
      </c>
      <c r="E15" s="2"/>
      <c r="F15" s="4" t="s">
        <v>40</v>
      </c>
      <c r="G15" s="24" t="str" cm="1">
        <f t="array" ref="G15">IF(AND(L3:N22="PASS"), "PASS", "FAIL")</f>
        <v>PASS</v>
      </c>
      <c r="H15" s="24"/>
      <c r="I15" s="24"/>
      <c r="J15" s="2"/>
      <c r="K15" s="1">
        <f t="shared" si="1"/>
        <v>0</v>
      </c>
      <c r="L15" t="str">
        <f t="shared" si="2"/>
        <v>PASS</v>
      </c>
      <c r="M15" t="str">
        <f t="shared" si="3"/>
        <v>PASS</v>
      </c>
      <c r="N15" t="str">
        <f t="shared" si="4"/>
        <v>PASS</v>
      </c>
      <c r="P15" s="1">
        <f t="shared" si="8"/>
        <v>0</v>
      </c>
      <c r="Q15" t="str">
        <f t="shared" si="10"/>
        <v>FAIL</v>
      </c>
      <c r="R15" t="str">
        <f t="shared" si="11"/>
        <v>FAIL</v>
      </c>
      <c r="S15" t="str">
        <f t="shared" si="12"/>
        <v>FAIL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.75" x14ac:dyDescent="0.25">
      <c r="A16" s="9">
        <f>'RAW DATA'!J15</f>
        <v>0</v>
      </c>
      <c r="B16" s="10">
        <f>'RAW DATA'!L15</f>
        <v>0</v>
      </c>
      <c r="C16" s="10">
        <f>'RAW DATA'!L35</f>
        <v>0</v>
      </c>
      <c r="D16" s="10">
        <f>'RAW DATA'!L55</f>
        <v>0</v>
      </c>
      <c r="E16" s="2"/>
      <c r="F16" s="4" t="s">
        <v>43</v>
      </c>
      <c r="G16" s="24" t="str" cm="1">
        <f t="array" ref="G16">IF(AND(L26:N45="PASS"), "PASS", "FAIL")</f>
        <v>PASS</v>
      </c>
      <c r="H16" s="24"/>
      <c r="I16" s="24"/>
      <c r="J16" s="2"/>
      <c r="K16" s="1">
        <f t="shared" si="1"/>
        <v>0</v>
      </c>
      <c r="L16" t="str">
        <f t="shared" si="2"/>
        <v>PASS</v>
      </c>
      <c r="M16" t="str">
        <f t="shared" si="3"/>
        <v>PASS</v>
      </c>
      <c r="N16" t="str">
        <f t="shared" si="4"/>
        <v>PASS</v>
      </c>
      <c r="P16" s="1">
        <f t="shared" si="8"/>
        <v>0</v>
      </c>
      <c r="Q16" t="str">
        <f t="shared" si="10"/>
        <v>FAIL</v>
      </c>
      <c r="R16" t="str">
        <f t="shared" si="11"/>
        <v>FAIL</v>
      </c>
      <c r="S16" t="str">
        <f t="shared" si="12"/>
        <v>FAIL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.75" x14ac:dyDescent="0.25">
      <c r="A17" s="7">
        <f>'RAW DATA'!J16</f>
        <v>0</v>
      </c>
      <c r="B17" s="6">
        <f>'RAW DATA'!L16</f>
        <v>0</v>
      </c>
      <c r="C17" s="6">
        <f>'RAW DATA'!L36</f>
        <v>0</v>
      </c>
      <c r="D17" s="6">
        <f>'RAW DATA'!L56</f>
        <v>0</v>
      </c>
      <c r="E17" s="2"/>
      <c r="F17" s="5" t="s">
        <v>45</v>
      </c>
      <c r="G17" s="24" t="str" cm="1">
        <f t="array" ref="G17">IF(AND(Q3:S4="PASS"), "PASS", "FAIL")</f>
        <v>PASS</v>
      </c>
      <c r="H17" s="24"/>
      <c r="I17" s="24"/>
      <c r="J17" s="2"/>
      <c r="K17" s="1">
        <f t="shared" si="1"/>
        <v>0</v>
      </c>
      <c r="L17" t="str">
        <f t="shared" si="2"/>
        <v>PASS</v>
      </c>
      <c r="M17" t="str">
        <f t="shared" si="3"/>
        <v>PASS</v>
      </c>
      <c r="N17" t="str">
        <f t="shared" si="4"/>
        <v>PASS</v>
      </c>
      <c r="P17" s="1">
        <f t="shared" si="8"/>
        <v>0</v>
      </c>
      <c r="Q17" t="str">
        <f t="shared" si="10"/>
        <v>FAIL</v>
      </c>
      <c r="R17" t="str">
        <f t="shared" si="11"/>
        <v>FAIL</v>
      </c>
      <c r="S17" t="str">
        <f t="shared" si="12"/>
        <v>FAIL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.75" x14ac:dyDescent="0.25">
      <c r="A18" s="9">
        <f>'RAW DATA'!J17</f>
        <v>0</v>
      </c>
      <c r="B18" s="10">
        <f>'RAW DATA'!L17</f>
        <v>0</v>
      </c>
      <c r="C18" s="10">
        <f>'RAW DATA'!L37</f>
        <v>0</v>
      </c>
      <c r="D18" s="10">
        <f>'RAW DATA'!L57</f>
        <v>0</v>
      </c>
      <c r="E18" s="2"/>
      <c r="F18" s="5" t="s">
        <v>44</v>
      </c>
      <c r="G18" s="24" t="str" cm="1">
        <f t="array" ref="G18">IF(AND(Q8:S27="PASS"), "PASS", "FAIL")</f>
        <v>FAIL</v>
      </c>
      <c r="H18" s="24"/>
      <c r="I18" s="24"/>
      <c r="J18" s="2"/>
      <c r="K18" s="1">
        <f t="shared" si="1"/>
        <v>0</v>
      </c>
      <c r="L18" t="str">
        <f t="shared" si="2"/>
        <v>PASS</v>
      </c>
      <c r="M18" t="str">
        <f t="shared" si="3"/>
        <v>PASS</v>
      </c>
      <c r="N18" t="str">
        <f t="shared" si="4"/>
        <v>PASS</v>
      </c>
      <c r="P18" s="1">
        <f t="shared" si="8"/>
        <v>0</v>
      </c>
      <c r="Q18" t="str">
        <f t="shared" si="10"/>
        <v>FAIL</v>
      </c>
      <c r="R18" t="str">
        <f t="shared" si="11"/>
        <v>FAIL</v>
      </c>
      <c r="S18" t="str">
        <f t="shared" si="12"/>
        <v>FAIL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5">
      <c r="A19" s="7">
        <f>'RAW DATA'!J18</f>
        <v>0</v>
      </c>
      <c r="B19" s="6">
        <f>'RAW DATA'!L18</f>
        <v>0</v>
      </c>
      <c r="C19" s="6">
        <f>'RAW DATA'!L38</f>
        <v>0</v>
      </c>
      <c r="D19" s="6">
        <f>'RAW DATA'!L58</f>
        <v>0</v>
      </c>
      <c r="E19" s="2"/>
      <c r="F19" s="3"/>
      <c r="G19" s="2"/>
      <c r="H19" s="2"/>
      <c r="I19" s="2"/>
      <c r="J19" s="2"/>
      <c r="K19" s="1">
        <f t="shared" si="1"/>
        <v>0</v>
      </c>
      <c r="L19" t="str">
        <f t="shared" si="2"/>
        <v>PASS</v>
      </c>
      <c r="M19" t="str">
        <f t="shared" si="3"/>
        <v>PASS</v>
      </c>
      <c r="N19" t="str">
        <f t="shared" si="4"/>
        <v>PASS</v>
      </c>
      <c r="P19" s="1">
        <f t="shared" si="8"/>
        <v>0</v>
      </c>
      <c r="Q19" t="str">
        <f t="shared" si="10"/>
        <v>FAIL</v>
      </c>
      <c r="R19" t="str">
        <f t="shared" si="11"/>
        <v>FAIL</v>
      </c>
      <c r="S19" t="str">
        <f t="shared" si="12"/>
        <v>FAIL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5">
      <c r="A20" s="9">
        <f>'RAW DATA'!J19</f>
        <v>0</v>
      </c>
      <c r="B20" s="10">
        <f>'RAW DATA'!L19</f>
        <v>0</v>
      </c>
      <c r="C20" s="10">
        <f>'RAW DATA'!L39</f>
        <v>0</v>
      </c>
      <c r="D20" s="10">
        <f>'RAW DATA'!L59</f>
        <v>0</v>
      </c>
      <c r="E20" s="2"/>
      <c r="F20" s="3"/>
      <c r="G20" s="2"/>
      <c r="H20" s="2"/>
      <c r="I20" s="2"/>
      <c r="J20" s="2"/>
      <c r="K20" s="1">
        <f t="shared" si="1"/>
        <v>0</v>
      </c>
      <c r="L20" t="str">
        <f t="shared" si="2"/>
        <v>PASS</v>
      </c>
      <c r="M20" t="str">
        <f t="shared" si="3"/>
        <v>PASS</v>
      </c>
      <c r="N20" t="str">
        <f t="shared" si="4"/>
        <v>PASS</v>
      </c>
      <c r="P20" s="1">
        <f t="shared" si="8"/>
        <v>0</v>
      </c>
      <c r="Q20" t="str">
        <f t="shared" si="10"/>
        <v>FAIL</v>
      </c>
      <c r="R20" t="str">
        <f t="shared" si="11"/>
        <v>FAIL</v>
      </c>
      <c r="S20" t="str">
        <f t="shared" si="12"/>
        <v>FAIL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5">
      <c r="A21" s="7">
        <f>'RAW DATA'!J20</f>
        <v>0</v>
      </c>
      <c r="B21" s="6">
        <f>'RAW DATA'!L20</f>
        <v>0</v>
      </c>
      <c r="C21" s="6">
        <f>'RAW DATA'!L40</f>
        <v>0</v>
      </c>
      <c r="D21" s="6">
        <f>'RAW DATA'!L60</f>
        <v>0</v>
      </c>
      <c r="E21" s="2"/>
      <c r="F21" s="3"/>
      <c r="G21" s="2"/>
      <c r="H21" s="2"/>
      <c r="I21" s="2"/>
      <c r="J21" s="2"/>
      <c r="K21" s="1">
        <f t="shared" si="1"/>
        <v>0</v>
      </c>
      <c r="L21" t="str">
        <f t="shared" si="2"/>
        <v>PASS</v>
      </c>
      <c r="M21" t="str">
        <f t="shared" si="3"/>
        <v>PASS</v>
      </c>
      <c r="N21" t="str">
        <f t="shared" si="4"/>
        <v>PASS</v>
      </c>
      <c r="P21" s="1">
        <f t="shared" si="8"/>
        <v>0</v>
      </c>
      <c r="Q21" t="str">
        <f t="shared" si="10"/>
        <v>FAIL</v>
      </c>
      <c r="R21" t="str">
        <f t="shared" si="11"/>
        <v>FAIL</v>
      </c>
      <c r="S21" t="str">
        <f t="shared" si="12"/>
        <v>FAIL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5">
      <c r="A22" s="9">
        <f>'RAW DATA'!J21</f>
        <v>0</v>
      </c>
      <c r="B22" s="10">
        <f>'RAW DATA'!L21</f>
        <v>0</v>
      </c>
      <c r="C22" s="10">
        <f>'RAW DATA'!L41</f>
        <v>0</v>
      </c>
      <c r="D22" s="10">
        <f>'RAW DATA'!L61</f>
        <v>0</v>
      </c>
      <c r="E22" s="2"/>
      <c r="F22" s="3"/>
      <c r="G22" s="2"/>
      <c r="H22" s="2"/>
      <c r="I22" s="2"/>
      <c r="J22" s="2"/>
      <c r="K22" s="1">
        <f t="shared" si="1"/>
        <v>0</v>
      </c>
      <c r="L22" t="str">
        <f t="shared" si="2"/>
        <v>PASS</v>
      </c>
      <c r="M22" t="str">
        <f t="shared" si="3"/>
        <v>PASS</v>
      </c>
      <c r="N22" t="str">
        <f t="shared" si="4"/>
        <v>PASS</v>
      </c>
      <c r="P22" s="1">
        <f t="shared" si="8"/>
        <v>0</v>
      </c>
      <c r="Q22" t="str">
        <f t="shared" si="10"/>
        <v>FAIL</v>
      </c>
      <c r="R22" t="str">
        <f t="shared" si="11"/>
        <v>FAIL</v>
      </c>
      <c r="S22" t="str">
        <f t="shared" si="12"/>
        <v>FAIL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5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P23" s="1">
        <f t="shared" si="8"/>
        <v>0</v>
      </c>
      <c r="Q23" t="str">
        <f t="shared" si="10"/>
        <v>FAIL</v>
      </c>
      <c r="R23" t="str">
        <f t="shared" si="11"/>
        <v>FAIL</v>
      </c>
      <c r="S23" t="str">
        <f t="shared" si="12"/>
        <v>FAIL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5">
      <c r="A24" s="2"/>
      <c r="B24" s="2"/>
      <c r="C24" s="2"/>
      <c r="D24" s="2"/>
      <c r="E24" s="2"/>
      <c r="F24" s="3"/>
      <c r="G24" s="2"/>
      <c r="H24" s="2"/>
      <c r="I24" s="2"/>
      <c r="J24" s="2"/>
      <c r="K24" s="23" t="s">
        <v>43</v>
      </c>
      <c r="L24" s="23"/>
      <c r="M24" s="23"/>
      <c r="N24" s="23"/>
      <c r="P24" s="1">
        <f t="shared" si="8"/>
        <v>0</v>
      </c>
      <c r="Q24" t="str">
        <f t="shared" si="10"/>
        <v>FAIL</v>
      </c>
      <c r="R24" t="str">
        <f t="shared" si="11"/>
        <v>FAIL</v>
      </c>
      <c r="S24" t="str">
        <f t="shared" si="12"/>
        <v>FAIL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5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 t="s">
        <v>29</v>
      </c>
      <c r="M25" s="2" t="s">
        <v>30</v>
      </c>
      <c r="N25" s="2" t="s">
        <v>31</v>
      </c>
      <c r="P25" s="1">
        <f t="shared" si="8"/>
        <v>0</v>
      </c>
      <c r="Q25" t="str">
        <f t="shared" si="10"/>
        <v>FAIL</v>
      </c>
      <c r="R25" t="str">
        <f t="shared" si="11"/>
        <v>FAIL</v>
      </c>
      <c r="S25" t="str">
        <f t="shared" si="12"/>
        <v>FAIL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5">
      <c r="A26" s="2"/>
      <c r="B26" s="2"/>
      <c r="C26" s="2"/>
      <c r="D26" s="2"/>
      <c r="E26" s="2"/>
      <c r="F26" s="3"/>
      <c r="G26" s="2"/>
      <c r="H26" s="2"/>
      <c r="I26" s="2"/>
      <c r="J26" s="2"/>
      <c r="K26" s="3">
        <f>A3</f>
        <v>0</v>
      </c>
      <c r="L26" s="2" t="str">
        <f>IF(OR(
AND(B3-$G$3&gt;2*$G$4,B4-$G$3&gt;2*$G$4),
AND(B3-$G$3&lt;-2*$G$4,B4-$G$3&lt;-2*$G$4)),"FAIL","PASS")</f>
        <v>PASS</v>
      </c>
      <c r="M26" s="2" t="str">
        <f>IF(OR(
AND(C3-$H$3&gt;2*$H$4,C4-$H$3&gt;2*$H$4),
AND(C3-$H$3&lt;-2*$H$4,C4-$H$3&lt;-2*$H$4)),"FAIL","PASS")</f>
        <v>PASS</v>
      </c>
      <c r="N26" s="2" t="str">
        <f>IF(OR(
AND(D3-$I$3&gt;2*$I$4,D4-$I$3&gt;2*$I$4),
AND(D3-$I$3&lt;-2*$I$4,D4-$I$3&lt;-2*$I$4)),"FAIL","PASS")</f>
        <v>PASS</v>
      </c>
      <c r="P26" s="1">
        <f t="shared" si="8"/>
        <v>0</v>
      </c>
      <c r="Q26" t="str">
        <f t="shared" si="10"/>
        <v>FAIL</v>
      </c>
      <c r="R26" t="str">
        <f t="shared" si="11"/>
        <v>FAIL</v>
      </c>
      <c r="S26" t="str">
        <f t="shared" si="12"/>
        <v>FAIL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5">
      <c r="A27" s="2"/>
      <c r="B27" s="2"/>
      <c r="C27" s="2"/>
      <c r="D27" s="2"/>
      <c r="E27" s="2"/>
      <c r="F27" s="3"/>
      <c r="G27" s="2"/>
      <c r="H27" s="2"/>
      <c r="I27" s="2"/>
      <c r="J27" s="2"/>
      <c r="K27" s="3">
        <f t="shared" ref="K27:K45" si="16">A4</f>
        <v>0</v>
      </c>
      <c r="L27" s="2" t="str">
        <f t="shared" ref="L27:L45" si="17">IF(OR(
AND(B4-$G$3&gt;2*$G$4,B5-$G$3&gt;2*$G$4),
AND(B4-$G$3&lt;-2*$G$4,B5-$G$3&lt;-2*$G$4)),"FAIL","PASS")</f>
        <v>PASS</v>
      </c>
      <c r="M27" s="2" t="str">
        <f t="shared" ref="M27:M45" si="18">IF(OR(
AND(C4-$H$3&gt;2*$H$4,C5-$H$3&gt;2*$H$4),
AND(C4-$H$3&lt;-2*$H$4,C5-$H$3&lt;-2*$H$4)),"FAIL","PASS")</f>
        <v>PASS</v>
      </c>
      <c r="N27" s="2" t="str">
        <f t="shared" ref="N27:N45" si="19">IF(OR(
AND(D4-$I$3&gt;2*$I$4,D5-$I$3&gt;2*$I$4),
AND(D4-$I$3&lt;-2*$I$4,D5-$I$3&lt;-2*$I$4)),"FAIL","PASS")</f>
        <v>PASS</v>
      </c>
      <c r="P27" s="1">
        <f t="shared" si="8"/>
        <v>0</v>
      </c>
      <c r="Q27" t="str">
        <f t="shared" si="10"/>
        <v>FAIL</v>
      </c>
      <c r="R27" t="str">
        <f t="shared" si="11"/>
        <v>FAIL</v>
      </c>
      <c r="S27" t="str">
        <f t="shared" si="12"/>
        <v>FAIL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5">
      <c r="A28" s="2"/>
      <c r="B28" s="2"/>
      <c r="C28" s="2"/>
      <c r="D28" s="2"/>
      <c r="E28" s="2"/>
      <c r="F28" s="3"/>
      <c r="G28" s="2"/>
      <c r="H28" s="2"/>
      <c r="I28" s="2"/>
      <c r="J28" s="2"/>
      <c r="K28" s="3">
        <f t="shared" si="16"/>
        <v>0</v>
      </c>
      <c r="L28" s="2" t="str">
        <f t="shared" si="17"/>
        <v>PASS</v>
      </c>
      <c r="M28" s="2" t="str">
        <f t="shared" si="18"/>
        <v>PASS</v>
      </c>
      <c r="N28" s="2" t="str">
        <f t="shared" si="19"/>
        <v>PASS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5">
      <c r="A29" s="2"/>
      <c r="B29" s="2"/>
      <c r="C29" s="2"/>
      <c r="D29" s="2"/>
      <c r="E29" s="2"/>
      <c r="F29" s="3"/>
      <c r="G29" s="2"/>
      <c r="H29" s="2"/>
      <c r="I29" s="2"/>
      <c r="J29" s="2"/>
      <c r="K29" s="3">
        <f t="shared" si="16"/>
        <v>0</v>
      </c>
      <c r="L29" s="2" t="str">
        <f t="shared" si="17"/>
        <v>PASS</v>
      </c>
      <c r="M29" s="2" t="str">
        <f t="shared" si="18"/>
        <v>PASS</v>
      </c>
      <c r="N29" s="2" t="str">
        <f t="shared" si="19"/>
        <v>PASS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5">
      <c r="A30" s="2"/>
      <c r="B30" s="2"/>
      <c r="C30" s="2"/>
      <c r="D30" s="2"/>
      <c r="E30" s="2"/>
      <c r="F30" s="3"/>
      <c r="G30" s="2"/>
      <c r="H30" s="2"/>
      <c r="I30" s="2"/>
      <c r="J30" s="2"/>
      <c r="K30" s="3">
        <f t="shared" si="16"/>
        <v>0</v>
      </c>
      <c r="L30" s="2" t="str">
        <f t="shared" si="17"/>
        <v>PASS</v>
      </c>
      <c r="M30" s="2" t="str">
        <f t="shared" si="18"/>
        <v>PASS</v>
      </c>
      <c r="N30" s="2" t="str">
        <f t="shared" si="19"/>
        <v>PASS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5">
      <c r="A31" s="2"/>
      <c r="B31" s="2"/>
      <c r="C31" s="2"/>
      <c r="D31" s="2"/>
      <c r="E31" s="2"/>
      <c r="F31" s="3"/>
      <c r="G31" s="2"/>
      <c r="H31" s="2"/>
      <c r="I31" s="2"/>
      <c r="J31" s="2"/>
      <c r="K31" s="3">
        <f t="shared" si="16"/>
        <v>0</v>
      </c>
      <c r="L31" s="2" t="str">
        <f t="shared" si="17"/>
        <v>PASS</v>
      </c>
      <c r="M31" s="2" t="str">
        <f t="shared" si="18"/>
        <v>PASS</v>
      </c>
      <c r="N31" s="2" t="str">
        <f t="shared" si="19"/>
        <v>PASS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5">
      <c r="A32" s="2"/>
      <c r="B32" s="2"/>
      <c r="C32" s="2"/>
      <c r="D32" s="2"/>
      <c r="E32" s="2"/>
      <c r="F32" s="3"/>
      <c r="G32" s="2"/>
      <c r="H32" s="2"/>
      <c r="I32" s="2"/>
      <c r="J32" s="2"/>
      <c r="K32" s="3">
        <f t="shared" si="16"/>
        <v>0</v>
      </c>
      <c r="L32" s="2" t="str">
        <f t="shared" si="17"/>
        <v>PASS</v>
      </c>
      <c r="M32" s="2" t="str">
        <f t="shared" si="18"/>
        <v>PASS</v>
      </c>
      <c r="N32" s="2" t="str">
        <f t="shared" si="19"/>
        <v>PASS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25">
      <c r="A33" s="2"/>
      <c r="B33" s="2"/>
      <c r="C33" s="2"/>
      <c r="D33" s="2"/>
      <c r="E33" s="2"/>
      <c r="F33" s="3"/>
      <c r="G33" s="2"/>
      <c r="H33" s="2"/>
      <c r="I33" s="2"/>
      <c r="J33" s="2"/>
      <c r="K33" s="3">
        <f t="shared" si="16"/>
        <v>0</v>
      </c>
      <c r="L33" s="2" t="str">
        <f t="shared" si="17"/>
        <v>PASS</v>
      </c>
      <c r="M33" s="2" t="str">
        <f t="shared" si="18"/>
        <v>PASS</v>
      </c>
      <c r="N33" s="2" t="str">
        <f t="shared" si="19"/>
        <v>PASS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5">
      <c r="A34" s="2"/>
      <c r="B34" s="2"/>
      <c r="C34" s="2"/>
      <c r="D34" s="2"/>
      <c r="E34" s="2"/>
      <c r="F34" s="3"/>
      <c r="G34" s="2"/>
      <c r="H34" s="2"/>
      <c r="I34" s="2"/>
      <c r="J34" s="2"/>
      <c r="K34" s="3">
        <f t="shared" si="16"/>
        <v>0</v>
      </c>
      <c r="L34" s="2" t="str">
        <f t="shared" si="17"/>
        <v>PASS</v>
      </c>
      <c r="M34" s="2" t="str">
        <f t="shared" si="18"/>
        <v>PASS</v>
      </c>
      <c r="N34" s="2" t="str">
        <f t="shared" si="19"/>
        <v>PASS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5">
      <c r="A35" s="2"/>
      <c r="B35" s="2"/>
      <c r="C35" s="2"/>
      <c r="D35" s="2"/>
      <c r="E35" s="2"/>
      <c r="F35" s="3"/>
      <c r="G35" s="2"/>
      <c r="H35" s="2"/>
      <c r="I35" s="2"/>
      <c r="J35" s="2"/>
      <c r="K35" s="3">
        <f t="shared" si="16"/>
        <v>0</v>
      </c>
      <c r="L35" s="2" t="str">
        <f t="shared" si="17"/>
        <v>PASS</v>
      </c>
      <c r="M35" s="2" t="str">
        <f t="shared" si="18"/>
        <v>PASS</v>
      </c>
      <c r="N35" s="2" t="str">
        <f t="shared" si="19"/>
        <v>PASS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5">
      <c r="A36" s="2"/>
      <c r="B36" s="2"/>
      <c r="C36" s="2"/>
      <c r="D36" s="2"/>
      <c r="E36" s="2"/>
      <c r="F36" s="3"/>
      <c r="G36" s="2"/>
      <c r="H36" s="2"/>
      <c r="I36" s="2"/>
      <c r="J36" s="2"/>
      <c r="K36" s="3">
        <f t="shared" si="16"/>
        <v>0</v>
      </c>
      <c r="L36" s="2" t="str">
        <f t="shared" si="17"/>
        <v>PASS</v>
      </c>
      <c r="M36" s="2" t="str">
        <f t="shared" si="18"/>
        <v>PASS</v>
      </c>
      <c r="N36" s="2" t="str">
        <f t="shared" si="19"/>
        <v>PASS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s="2"/>
      <c r="B37" s="2"/>
      <c r="C37" s="2"/>
      <c r="D37" s="2"/>
      <c r="E37" s="2"/>
      <c r="F37" s="3"/>
      <c r="G37" s="2"/>
      <c r="H37" s="2"/>
      <c r="I37" s="2"/>
      <c r="J37" s="2"/>
      <c r="K37" s="3">
        <f t="shared" si="16"/>
        <v>0</v>
      </c>
      <c r="L37" s="2" t="str">
        <f t="shared" si="17"/>
        <v>PASS</v>
      </c>
      <c r="M37" s="2" t="str">
        <f t="shared" si="18"/>
        <v>PASS</v>
      </c>
      <c r="N37" s="2" t="str">
        <f t="shared" si="19"/>
        <v>PASS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3">
        <f t="shared" si="16"/>
        <v>0</v>
      </c>
      <c r="L38" s="2" t="str">
        <f t="shared" si="17"/>
        <v>PASS</v>
      </c>
      <c r="M38" s="2" t="str">
        <f t="shared" si="18"/>
        <v>PASS</v>
      </c>
      <c r="N38" s="2" t="str">
        <f t="shared" si="19"/>
        <v>PASS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3">
        <f t="shared" si="16"/>
        <v>0</v>
      </c>
      <c r="L39" s="2" t="str">
        <f t="shared" si="17"/>
        <v>PASS</v>
      </c>
      <c r="M39" s="2" t="str">
        <f t="shared" si="18"/>
        <v>PASS</v>
      </c>
      <c r="N39" s="2" t="str">
        <f t="shared" si="19"/>
        <v>PASS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3">
        <f t="shared" si="16"/>
        <v>0</v>
      </c>
      <c r="L40" s="2" t="str">
        <f t="shared" si="17"/>
        <v>PASS</v>
      </c>
      <c r="M40" s="2" t="str">
        <f t="shared" si="18"/>
        <v>PASS</v>
      </c>
      <c r="N40" s="2" t="str">
        <f t="shared" si="19"/>
        <v>PASS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3">
        <f t="shared" si="16"/>
        <v>0</v>
      </c>
      <c r="L41" s="2" t="str">
        <f t="shared" si="17"/>
        <v>PASS</v>
      </c>
      <c r="M41" s="2" t="str">
        <f t="shared" si="18"/>
        <v>PASS</v>
      </c>
      <c r="N41" s="2" t="str">
        <f t="shared" si="19"/>
        <v>PASS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3">
        <f t="shared" si="16"/>
        <v>0</v>
      </c>
      <c r="L42" s="2" t="str">
        <f t="shared" si="17"/>
        <v>PASS</v>
      </c>
      <c r="M42" s="2" t="str">
        <f t="shared" si="18"/>
        <v>PASS</v>
      </c>
      <c r="N42" s="2" t="str">
        <f t="shared" si="19"/>
        <v>PASS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3">
        <f t="shared" si="16"/>
        <v>0</v>
      </c>
      <c r="L43" s="2" t="str">
        <f t="shared" si="17"/>
        <v>PASS</v>
      </c>
      <c r="M43" s="2" t="str">
        <f t="shared" si="18"/>
        <v>PASS</v>
      </c>
      <c r="N43" s="2" t="str">
        <f t="shared" si="19"/>
        <v>PASS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3">
        <f t="shared" si="16"/>
        <v>0</v>
      </c>
      <c r="L44" s="2" t="str">
        <f t="shared" si="17"/>
        <v>PASS</v>
      </c>
      <c r="M44" s="2" t="str">
        <f t="shared" si="18"/>
        <v>PASS</v>
      </c>
      <c r="N44" s="2" t="str">
        <f t="shared" si="19"/>
        <v>PASS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3">
        <f t="shared" si="16"/>
        <v>0</v>
      </c>
      <c r="L45" s="2" t="str">
        <f t="shared" si="17"/>
        <v>PASS</v>
      </c>
      <c r="M45" s="2" t="str">
        <f t="shared" si="18"/>
        <v>PASS</v>
      </c>
      <c r="N45" s="2" t="str">
        <f t="shared" si="19"/>
        <v>PASS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2"/>
      <c r="M46" s="2"/>
      <c r="N46" s="2"/>
      <c r="P46" s="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3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</sheetData>
  <mergeCells count="11">
    <mergeCell ref="P1:S1"/>
    <mergeCell ref="P6:S6"/>
    <mergeCell ref="G15:I15"/>
    <mergeCell ref="G16:I16"/>
    <mergeCell ref="G17:I17"/>
    <mergeCell ref="K24:N24"/>
    <mergeCell ref="G18:I18"/>
    <mergeCell ref="F14:I14"/>
    <mergeCell ref="A1:D1"/>
    <mergeCell ref="F1:I1"/>
    <mergeCell ref="K1:N1"/>
  </mergeCells>
  <conditionalFormatting sqref="G15:G18">
    <cfRule type="containsText" dxfId="9" priority="1" operator="containsText" text="Fail">
      <formula>NOT(ISERROR(SEARCH("Fail",G15)))</formula>
    </cfRule>
    <cfRule type="containsText" dxfId="8" priority="2" operator="containsText" text="Pass">
      <formula>NOT(ISERROR(SEARCH("Pass",G15)))</formula>
    </cfRule>
  </conditionalFormatting>
  <conditionalFormatting sqref="L3:N22">
    <cfRule type="containsText" dxfId="7" priority="9" operator="containsText" text="Fail">
      <formula>NOT(ISERROR(SEARCH("Fail",L3)))</formula>
    </cfRule>
    <cfRule type="containsText" dxfId="6" priority="10" operator="containsText" text="Pass">
      <formula>NOT(ISERROR(SEARCH("Pass",L3)))</formula>
    </cfRule>
  </conditionalFormatting>
  <conditionalFormatting sqref="L26:N45">
    <cfRule type="containsText" dxfId="5" priority="7" operator="containsText" text="Fail">
      <formula>NOT(ISERROR(SEARCH("Fail",L26)))</formula>
    </cfRule>
    <cfRule type="containsText" dxfId="4" priority="8" operator="containsText" text="Pass">
      <formula>NOT(ISERROR(SEARCH("Pass",L26)))</formula>
    </cfRule>
  </conditionalFormatting>
  <conditionalFormatting sqref="Q3:S4">
    <cfRule type="containsText" dxfId="3" priority="5" operator="containsText" text="Fail">
      <formula>NOT(ISERROR(SEARCH("Fail",Q3)))</formula>
    </cfRule>
    <cfRule type="containsText" dxfId="2" priority="6" operator="containsText" text="Pass">
      <formula>NOT(ISERROR(SEARCH("Pass",Q3)))</formula>
    </cfRule>
  </conditionalFormatting>
  <conditionalFormatting sqref="Q8:S27">
    <cfRule type="containsText" dxfId="1" priority="3" operator="containsText" text="Fail">
      <formula>NOT(ISERROR(SEARCH("Fail",Q8)))</formula>
    </cfRule>
    <cfRule type="containsText" dxfId="0" priority="4" operator="containsText" text="Pass">
      <formula>NOT(ISERROR(SEARCH("Pass",Q8)))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D43B-260B-4E02-A2D2-1F945C3A0D49}">
  <dimension ref="A1:AQ168"/>
  <sheetViews>
    <sheetView topLeftCell="A24" zoomScale="85" zoomScaleNormal="85" workbookViewId="0">
      <selection activeCell="Q65" sqref="Q65"/>
    </sheetView>
  </sheetViews>
  <sheetFormatPr defaultRowHeight="15" x14ac:dyDescent="0.25"/>
  <cols>
    <col min="1" max="1" width="18.28515625" customWidth="1"/>
    <col min="3" max="7" width="9.140625" customWidth="1"/>
  </cols>
  <sheetData>
    <row r="1" spans="1:40" x14ac:dyDescent="0.25">
      <c r="A1" s="27" t="s">
        <v>53</v>
      </c>
      <c r="B1" s="27"/>
      <c r="C1" s="27"/>
      <c r="D1" s="27"/>
      <c r="E1" s="27"/>
      <c r="F1" s="27"/>
      <c r="G1" s="2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27"/>
      <c r="B2" s="27"/>
      <c r="C2" s="27"/>
      <c r="D2" s="27"/>
      <c r="E2" s="27"/>
      <c r="F2" s="27"/>
      <c r="G2" s="2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15.75" x14ac:dyDescent="0.25">
      <c r="A3" s="14" t="s">
        <v>49</v>
      </c>
      <c r="B3" s="14" t="s">
        <v>50</v>
      </c>
      <c r="C3" s="13" t="s">
        <v>32</v>
      </c>
      <c r="D3" s="13" t="s">
        <v>35</v>
      </c>
      <c r="E3" s="13" t="s">
        <v>52</v>
      </c>
      <c r="F3" s="13" t="s">
        <v>37</v>
      </c>
      <c r="G3" s="13" t="s">
        <v>38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25">
      <c r="A4" s="5">
        <f>'Westgard Rules'!A3</f>
        <v>0</v>
      </c>
      <c r="B4" s="4">
        <f>'Westgard Rules'!B3</f>
        <v>0</v>
      </c>
      <c r="C4" s="15">
        <f>'Westgard Rules'!$G$3</f>
        <v>0</v>
      </c>
      <c r="D4" s="15">
        <f>'Westgard Rules'!$G$9</f>
        <v>0</v>
      </c>
      <c r="E4" s="15">
        <f>'Westgard Rules'!$G$10</f>
        <v>0</v>
      </c>
      <c r="F4" s="15">
        <f>'Westgard Rules'!$G$11</f>
        <v>0</v>
      </c>
      <c r="G4" s="15">
        <f>'Westgard Rules'!$G$12</f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25">
      <c r="A5" s="16">
        <f>'Westgard Rules'!A4</f>
        <v>0</v>
      </c>
      <c r="B5" s="17">
        <f>'Westgard Rules'!B4</f>
        <v>0</v>
      </c>
      <c r="C5" s="18">
        <f>'Westgard Rules'!$G$3</f>
        <v>0</v>
      </c>
      <c r="D5" s="18">
        <f>'Westgard Rules'!$G$9</f>
        <v>0</v>
      </c>
      <c r="E5" s="18">
        <f>'Westgard Rules'!$G$10</f>
        <v>0</v>
      </c>
      <c r="F5" s="18">
        <f>'Westgard Rules'!$G$11</f>
        <v>0</v>
      </c>
      <c r="G5" s="18">
        <f>'Westgard Rules'!$G$12</f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25">
      <c r="A6" s="5">
        <f>'Westgard Rules'!A5</f>
        <v>0</v>
      </c>
      <c r="B6" s="4">
        <f>'Westgard Rules'!B5</f>
        <v>0</v>
      </c>
      <c r="C6" s="15">
        <f>'Westgard Rules'!$G$3</f>
        <v>0</v>
      </c>
      <c r="D6" s="15">
        <f>'Westgard Rules'!$G$9</f>
        <v>0</v>
      </c>
      <c r="E6" s="15">
        <f>'Westgard Rules'!$G$10</f>
        <v>0</v>
      </c>
      <c r="F6" s="15">
        <f>'Westgard Rules'!$G$11</f>
        <v>0</v>
      </c>
      <c r="G6" s="15">
        <f>'Westgard Rules'!$G$12</f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25">
      <c r="A7" s="16">
        <f>'Westgard Rules'!A6</f>
        <v>0</v>
      </c>
      <c r="B7" s="17">
        <f>'Westgard Rules'!B6</f>
        <v>0</v>
      </c>
      <c r="C7" s="18">
        <f>'Westgard Rules'!$G$3</f>
        <v>0</v>
      </c>
      <c r="D7" s="18">
        <f>'Westgard Rules'!$G$9</f>
        <v>0</v>
      </c>
      <c r="E7" s="18">
        <f>'Westgard Rules'!$G$10</f>
        <v>0</v>
      </c>
      <c r="F7" s="18">
        <f>'Westgard Rules'!$G$11</f>
        <v>0</v>
      </c>
      <c r="G7" s="18">
        <f>'Westgard Rules'!$G$12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x14ac:dyDescent="0.25">
      <c r="A8" s="5">
        <f>'Westgard Rules'!A7</f>
        <v>0</v>
      </c>
      <c r="B8" s="4">
        <f>'Westgard Rules'!B7</f>
        <v>0</v>
      </c>
      <c r="C8" s="15">
        <f>'Westgard Rules'!$G$3</f>
        <v>0</v>
      </c>
      <c r="D8" s="15">
        <f>'Westgard Rules'!$G$9</f>
        <v>0</v>
      </c>
      <c r="E8" s="15">
        <f>'Westgard Rules'!$G$10</f>
        <v>0</v>
      </c>
      <c r="F8" s="15">
        <f>'Westgard Rules'!$G$11</f>
        <v>0</v>
      </c>
      <c r="G8" s="15">
        <f>'Westgard Rules'!$G$12</f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25">
      <c r="A9" s="16">
        <f>'Westgard Rules'!A8</f>
        <v>0</v>
      </c>
      <c r="B9" s="17">
        <f>'Westgard Rules'!B8</f>
        <v>0</v>
      </c>
      <c r="C9" s="18">
        <f>'Westgard Rules'!$G$3</f>
        <v>0</v>
      </c>
      <c r="D9" s="18">
        <f>'Westgard Rules'!$G$9</f>
        <v>0</v>
      </c>
      <c r="E9" s="18">
        <f>'Westgard Rules'!$G$10</f>
        <v>0</v>
      </c>
      <c r="F9" s="18">
        <f>'Westgard Rules'!$G$11</f>
        <v>0</v>
      </c>
      <c r="G9" s="18">
        <f>'Westgard Rules'!$G$12</f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x14ac:dyDescent="0.25">
      <c r="A10" s="5">
        <f>'Westgard Rules'!A9</f>
        <v>0</v>
      </c>
      <c r="B10" s="4">
        <f>'Westgard Rules'!B9</f>
        <v>0</v>
      </c>
      <c r="C10" s="15">
        <f>'Westgard Rules'!$G$3</f>
        <v>0</v>
      </c>
      <c r="D10" s="15">
        <f>'Westgard Rules'!$G$9</f>
        <v>0</v>
      </c>
      <c r="E10" s="15">
        <f>'Westgard Rules'!$G$10</f>
        <v>0</v>
      </c>
      <c r="F10" s="15">
        <f>'Westgard Rules'!$G$11</f>
        <v>0</v>
      </c>
      <c r="G10" s="15">
        <f>'Westgard Rules'!$G$12</f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25">
      <c r="A11" s="16">
        <f>'Westgard Rules'!A10</f>
        <v>0</v>
      </c>
      <c r="B11" s="17">
        <f>'Westgard Rules'!B10</f>
        <v>0</v>
      </c>
      <c r="C11" s="18">
        <f>'Westgard Rules'!$G$3</f>
        <v>0</v>
      </c>
      <c r="D11" s="18">
        <f>'Westgard Rules'!$G$9</f>
        <v>0</v>
      </c>
      <c r="E11" s="18">
        <f>'Westgard Rules'!$G$10</f>
        <v>0</v>
      </c>
      <c r="F11" s="18">
        <f>'Westgard Rules'!$G$11</f>
        <v>0</v>
      </c>
      <c r="G11" s="18">
        <f>'Westgard Rules'!$G$12</f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25">
      <c r="A12" s="5">
        <f>'Westgard Rules'!A11</f>
        <v>0</v>
      </c>
      <c r="B12" s="4">
        <f>'Westgard Rules'!B11</f>
        <v>0</v>
      </c>
      <c r="C12" s="15">
        <f>'Westgard Rules'!$G$3</f>
        <v>0</v>
      </c>
      <c r="D12" s="15">
        <f>'Westgard Rules'!$G$9</f>
        <v>0</v>
      </c>
      <c r="E12" s="15">
        <f>'Westgard Rules'!$G$10</f>
        <v>0</v>
      </c>
      <c r="F12" s="15">
        <f>'Westgard Rules'!$G$11</f>
        <v>0</v>
      </c>
      <c r="G12" s="15">
        <f>'Westgard Rules'!$G$12</f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x14ac:dyDescent="0.25">
      <c r="A13" s="16">
        <f>'Westgard Rules'!A12</f>
        <v>0</v>
      </c>
      <c r="B13" s="17">
        <f>'Westgard Rules'!B12</f>
        <v>0</v>
      </c>
      <c r="C13" s="18">
        <f>'Westgard Rules'!$G$3</f>
        <v>0</v>
      </c>
      <c r="D13" s="18">
        <f>'Westgard Rules'!$G$9</f>
        <v>0</v>
      </c>
      <c r="E13" s="18">
        <f>'Westgard Rules'!$G$10</f>
        <v>0</v>
      </c>
      <c r="F13" s="18">
        <f>'Westgard Rules'!$G$11</f>
        <v>0</v>
      </c>
      <c r="G13" s="18">
        <f>'Westgard Rules'!$G$12</f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x14ac:dyDescent="0.25">
      <c r="A14" s="5">
        <f>'Westgard Rules'!A13</f>
        <v>0</v>
      </c>
      <c r="B14" s="4">
        <f>'Westgard Rules'!B13</f>
        <v>0</v>
      </c>
      <c r="C14" s="15">
        <f>'Westgard Rules'!$G$3</f>
        <v>0</v>
      </c>
      <c r="D14" s="15">
        <f>'Westgard Rules'!$G$9</f>
        <v>0</v>
      </c>
      <c r="E14" s="15">
        <f>'Westgard Rules'!$G$10</f>
        <v>0</v>
      </c>
      <c r="F14" s="15">
        <f>'Westgard Rules'!$G$11</f>
        <v>0</v>
      </c>
      <c r="G14" s="15">
        <f>'Westgard Rules'!$G$12</f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x14ac:dyDescent="0.25">
      <c r="A15" s="16">
        <f>'Westgard Rules'!A14</f>
        <v>0</v>
      </c>
      <c r="B15" s="17">
        <f>'Westgard Rules'!B14</f>
        <v>0</v>
      </c>
      <c r="C15" s="18">
        <f>'Westgard Rules'!$G$3</f>
        <v>0</v>
      </c>
      <c r="D15" s="18">
        <f>'Westgard Rules'!$G$9</f>
        <v>0</v>
      </c>
      <c r="E15" s="18">
        <f>'Westgard Rules'!$G$10</f>
        <v>0</v>
      </c>
      <c r="F15" s="18">
        <f>'Westgard Rules'!$G$11</f>
        <v>0</v>
      </c>
      <c r="G15" s="18">
        <f>'Westgard Rules'!$G$12</f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x14ac:dyDescent="0.25">
      <c r="A16" s="5">
        <f>'Westgard Rules'!A15</f>
        <v>0</v>
      </c>
      <c r="B16" s="4">
        <f>'Westgard Rules'!B15</f>
        <v>0</v>
      </c>
      <c r="C16" s="15">
        <f>'Westgard Rules'!$G$3</f>
        <v>0</v>
      </c>
      <c r="D16" s="15">
        <f>'Westgard Rules'!$G$9</f>
        <v>0</v>
      </c>
      <c r="E16" s="15">
        <f>'Westgard Rules'!$G$10</f>
        <v>0</v>
      </c>
      <c r="F16" s="15">
        <f>'Westgard Rules'!$G$11</f>
        <v>0</v>
      </c>
      <c r="G16" s="15">
        <f>'Westgard Rules'!$G$12</f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3" x14ac:dyDescent="0.25">
      <c r="A17" s="16">
        <f>'Westgard Rules'!A16</f>
        <v>0</v>
      </c>
      <c r="B17" s="17">
        <f>'Westgard Rules'!B16</f>
        <v>0</v>
      </c>
      <c r="C17" s="18">
        <f>'Westgard Rules'!$G$3</f>
        <v>0</v>
      </c>
      <c r="D17" s="18">
        <f>'Westgard Rules'!$G$9</f>
        <v>0</v>
      </c>
      <c r="E17" s="18">
        <f>'Westgard Rules'!$G$10</f>
        <v>0</v>
      </c>
      <c r="F17" s="18">
        <f>'Westgard Rules'!$G$11</f>
        <v>0</v>
      </c>
      <c r="G17" s="18">
        <f>'Westgard Rules'!$G$12</f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3" x14ac:dyDescent="0.25">
      <c r="A18" s="5">
        <f>'Westgard Rules'!A17</f>
        <v>0</v>
      </c>
      <c r="B18" s="4">
        <f>'Westgard Rules'!B17</f>
        <v>0</v>
      </c>
      <c r="C18" s="15">
        <f>'Westgard Rules'!$G$3</f>
        <v>0</v>
      </c>
      <c r="D18" s="15">
        <f>'Westgard Rules'!$G$9</f>
        <v>0</v>
      </c>
      <c r="E18" s="15">
        <f>'Westgard Rules'!$G$10</f>
        <v>0</v>
      </c>
      <c r="F18" s="15">
        <f>'Westgard Rules'!$G$11</f>
        <v>0</v>
      </c>
      <c r="G18" s="15">
        <f>'Westgard Rules'!$G$12</f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3" x14ac:dyDescent="0.25">
      <c r="A19" s="16">
        <f>'Westgard Rules'!A18</f>
        <v>0</v>
      </c>
      <c r="B19" s="17">
        <f>'Westgard Rules'!B18</f>
        <v>0</v>
      </c>
      <c r="C19" s="18">
        <f>'Westgard Rules'!$G$3</f>
        <v>0</v>
      </c>
      <c r="D19" s="18">
        <f>'Westgard Rules'!$G$9</f>
        <v>0</v>
      </c>
      <c r="E19" s="18">
        <f>'Westgard Rules'!$G$10</f>
        <v>0</v>
      </c>
      <c r="F19" s="18">
        <f>'Westgard Rules'!$G$11</f>
        <v>0</v>
      </c>
      <c r="G19" s="18">
        <f>'Westgard Rules'!$G$12</f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3" x14ac:dyDescent="0.25">
      <c r="A20" s="5">
        <f>'Westgard Rules'!A19</f>
        <v>0</v>
      </c>
      <c r="B20" s="4">
        <f>'Westgard Rules'!B19</f>
        <v>0</v>
      </c>
      <c r="C20" s="15">
        <f>'Westgard Rules'!$G$3</f>
        <v>0</v>
      </c>
      <c r="D20" s="15">
        <f>'Westgard Rules'!$G$9</f>
        <v>0</v>
      </c>
      <c r="E20" s="15">
        <f>'Westgard Rules'!$G$10</f>
        <v>0</v>
      </c>
      <c r="F20" s="15">
        <f>'Westgard Rules'!$G$11</f>
        <v>0</v>
      </c>
      <c r="G20" s="15">
        <f>'Westgard Rules'!$G$12</f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3" x14ac:dyDescent="0.25">
      <c r="A21" s="16">
        <f>'Westgard Rules'!A20</f>
        <v>0</v>
      </c>
      <c r="B21" s="17">
        <f>'Westgard Rules'!B20</f>
        <v>0</v>
      </c>
      <c r="C21" s="18">
        <f>'Westgard Rules'!$G$3</f>
        <v>0</v>
      </c>
      <c r="D21" s="18">
        <f>'Westgard Rules'!$G$9</f>
        <v>0</v>
      </c>
      <c r="E21" s="18">
        <f>'Westgard Rules'!$G$10</f>
        <v>0</v>
      </c>
      <c r="F21" s="18">
        <f>'Westgard Rules'!$G$11</f>
        <v>0</v>
      </c>
      <c r="G21" s="18">
        <f>'Westgard Rules'!$G$12</f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3" x14ac:dyDescent="0.25">
      <c r="A22" s="5">
        <f>'Westgard Rules'!A21</f>
        <v>0</v>
      </c>
      <c r="B22" s="4">
        <f>'Westgard Rules'!B21</f>
        <v>0</v>
      </c>
      <c r="C22" s="15">
        <f>'Westgard Rules'!$G$3</f>
        <v>0</v>
      </c>
      <c r="D22" s="15">
        <f>'Westgard Rules'!$G$9</f>
        <v>0</v>
      </c>
      <c r="E22" s="15">
        <f>'Westgard Rules'!$G$10</f>
        <v>0</v>
      </c>
      <c r="F22" s="15">
        <f>'Westgard Rules'!$G$11</f>
        <v>0</v>
      </c>
      <c r="G22" s="15">
        <f>'Westgard Rules'!$G$12</f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3" x14ac:dyDescent="0.25">
      <c r="A23" s="16">
        <f>'Westgard Rules'!A22</f>
        <v>0</v>
      </c>
      <c r="B23" s="17">
        <f>'Westgard Rules'!B22</f>
        <v>0</v>
      </c>
      <c r="C23" s="18">
        <f>'Westgard Rules'!$G$3</f>
        <v>0</v>
      </c>
      <c r="D23" s="18">
        <f>'Westgard Rules'!$G$9</f>
        <v>0</v>
      </c>
      <c r="E23" s="18">
        <f>'Westgard Rules'!$G$10</f>
        <v>0</v>
      </c>
      <c r="F23" s="18">
        <f>'Westgard Rules'!$G$11</f>
        <v>0</v>
      </c>
      <c r="G23" s="18">
        <f>'Westgard Rules'!$G$12</f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3" x14ac:dyDescent="0.25">
      <c r="A24" s="3"/>
      <c r="B24" s="2"/>
      <c r="C24" s="19"/>
      <c r="D24" s="19"/>
      <c r="E24" s="19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3" ht="15" customHeight="1" x14ac:dyDescent="0.25">
      <c r="A26" s="27" t="s">
        <v>54</v>
      </c>
      <c r="B26" s="27"/>
      <c r="C26" s="27"/>
      <c r="D26" s="27"/>
      <c r="E26" s="27"/>
      <c r="F26" s="27"/>
      <c r="G26" s="2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ht="15" customHeight="1" x14ac:dyDescent="0.25">
      <c r="A27" s="27"/>
      <c r="B27" s="27"/>
      <c r="C27" s="27"/>
      <c r="D27" s="27"/>
      <c r="E27" s="27"/>
      <c r="F27" s="27"/>
      <c r="G27" s="2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ht="15.75" x14ac:dyDescent="0.25">
      <c r="A28" s="14" t="s">
        <v>49</v>
      </c>
      <c r="B28" s="14" t="s">
        <v>50</v>
      </c>
      <c r="C28" s="13" t="s">
        <v>32</v>
      </c>
      <c r="D28" s="13" t="s">
        <v>35</v>
      </c>
      <c r="E28" s="13" t="s">
        <v>52</v>
      </c>
      <c r="F28" s="13" t="s">
        <v>37</v>
      </c>
      <c r="G28" s="13" t="s">
        <v>38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x14ac:dyDescent="0.25">
      <c r="A29" s="5">
        <f>A4</f>
        <v>0</v>
      </c>
      <c r="B29" s="4">
        <f>'Westgard Rules'!C3</f>
        <v>0</v>
      </c>
      <c r="C29" s="15">
        <f>'Westgard Rules'!$H$3</f>
        <v>0</v>
      </c>
      <c r="D29" s="15">
        <f>'Westgard Rules'!$H$9</f>
        <v>0</v>
      </c>
      <c r="E29" s="15">
        <f>'Westgard Rules'!$H$10</f>
        <v>0</v>
      </c>
      <c r="F29" s="15">
        <f>'Westgard Rules'!$H$11</f>
        <v>0</v>
      </c>
      <c r="G29" s="15">
        <f>'Westgard Rules'!$H$12</f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25">
      <c r="A30" s="16">
        <f t="shared" ref="A30:A48" si="0">A5</f>
        <v>0</v>
      </c>
      <c r="B30" s="17">
        <f>'Westgard Rules'!C4</f>
        <v>0</v>
      </c>
      <c r="C30" s="18">
        <f>'Westgard Rules'!$H$3</f>
        <v>0</v>
      </c>
      <c r="D30" s="18">
        <f>'Westgard Rules'!$H$9</f>
        <v>0</v>
      </c>
      <c r="E30" s="18">
        <f>'Westgard Rules'!$H$10</f>
        <v>0</v>
      </c>
      <c r="F30" s="18">
        <f>'Westgard Rules'!$H$11</f>
        <v>0</v>
      </c>
      <c r="G30" s="18">
        <f>'Westgard Rules'!$H$12</f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x14ac:dyDescent="0.25">
      <c r="A31" s="5">
        <f t="shared" si="0"/>
        <v>0</v>
      </c>
      <c r="B31" s="4">
        <f>'Westgard Rules'!C5</f>
        <v>0</v>
      </c>
      <c r="C31" s="15">
        <f>'Westgard Rules'!$H$3</f>
        <v>0</v>
      </c>
      <c r="D31" s="15">
        <f>'Westgard Rules'!$H$9</f>
        <v>0</v>
      </c>
      <c r="E31" s="15">
        <f>'Westgard Rules'!$H$10</f>
        <v>0</v>
      </c>
      <c r="F31" s="15">
        <f>'Westgard Rules'!$H$11</f>
        <v>0</v>
      </c>
      <c r="G31" s="15">
        <f>'Westgard Rules'!$H$12</f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3" x14ac:dyDescent="0.25">
      <c r="A32" s="16">
        <f t="shared" si="0"/>
        <v>0</v>
      </c>
      <c r="B32" s="17">
        <f>'Westgard Rules'!C6</f>
        <v>0</v>
      </c>
      <c r="C32" s="18">
        <f>'Westgard Rules'!$H$3</f>
        <v>0</v>
      </c>
      <c r="D32" s="18">
        <f>'Westgard Rules'!$H$9</f>
        <v>0</v>
      </c>
      <c r="E32" s="18">
        <f>'Westgard Rules'!$H$10</f>
        <v>0</v>
      </c>
      <c r="F32" s="18">
        <f>'Westgard Rules'!$H$11</f>
        <v>0</v>
      </c>
      <c r="G32" s="18">
        <f>'Westgard Rules'!$H$12</f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pans="1:43" x14ac:dyDescent="0.25">
      <c r="A33" s="5">
        <f t="shared" si="0"/>
        <v>0</v>
      </c>
      <c r="B33" s="4">
        <f>'Westgard Rules'!C7</f>
        <v>0</v>
      </c>
      <c r="C33" s="15">
        <f>'Westgard Rules'!$H$3</f>
        <v>0</v>
      </c>
      <c r="D33" s="15">
        <f>'Westgard Rules'!$H$9</f>
        <v>0</v>
      </c>
      <c r="E33" s="15">
        <f>'Westgard Rules'!$H$10</f>
        <v>0</v>
      </c>
      <c r="F33" s="15">
        <f>'Westgard Rules'!$H$11</f>
        <v>0</v>
      </c>
      <c r="G33" s="15">
        <f>'Westgard Rules'!$H$12</f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x14ac:dyDescent="0.25">
      <c r="A34" s="16">
        <f t="shared" si="0"/>
        <v>0</v>
      </c>
      <c r="B34" s="17">
        <f>'Westgard Rules'!C8</f>
        <v>0</v>
      </c>
      <c r="C34" s="18">
        <f>'Westgard Rules'!$H$3</f>
        <v>0</v>
      </c>
      <c r="D34" s="18">
        <f>'Westgard Rules'!$H$9</f>
        <v>0</v>
      </c>
      <c r="E34" s="18">
        <f>'Westgard Rules'!$H$10</f>
        <v>0</v>
      </c>
      <c r="F34" s="18">
        <f>'Westgard Rules'!$H$11</f>
        <v>0</v>
      </c>
      <c r="G34" s="18">
        <f>'Westgard Rules'!$H$12</f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x14ac:dyDescent="0.25">
      <c r="A35" s="5">
        <f t="shared" si="0"/>
        <v>0</v>
      </c>
      <c r="B35" s="4">
        <f>'Westgard Rules'!C9</f>
        <v>0</v>
      </c>
      <c r="C35" s="15">
        <f>'Westgard Rules'!$H$3</f>
        <v>0</v>
      </c>
      <c r="D35" s="15">
        <f>'Westgard Rules'!$H$9</f>
        <v>0</v>
      </c>
      <c r="E35" s="15">
        <f>'Westgard Rules'!$H$10</f>
        <v>0</v>
      </c>
      <c r="F35" s="15">
        <f>'Westgard Rules'!$H$11</f>
        <v>0</v>
      </c>
      <c r="G35" s="15">
        <f>'Westgard Rules'!$H$12</f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43" x14ac:dyDescent="0.25">
      <c r="A36" s="16">
        <f t="shared" si="0"/>
        <v>0</v>
      </c>
      <c r="B36" s="17">
        <f>'Westgard Rules'!C10</f>
        <v>0</v>
      </c>
      <c r="C36" s="18">
        <f>'Westgard Rules'!$H$3</f>
        <v>0</v>
      </c>
      <c r="D36" s="18">
        <f>'Westgard Rules'!$H$9</f>
        <v>0</v>
      </c>
      <c r="E36" s="18">
        <f>'Westgard Rules'!$H$10</f>
        <v>0</v>
      </c>
      <c r="F36" s="18">
        <f>'Westgard Rules'!$H$11</f>
        <v>0</v>
      </c>
      <c r="G36" s="18">
        <f>'Westgard Rules'!$H$12</f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1:43" x14ac:dyDescent="0.25">
      <c r="A37" s="5">
        <f t="shared" si="0"/>
        <v>0</v>
      </c>
      <c r="B37" s="4">
        <f>'Westgard Rules'!C11</f>
        <v>0</v>
      </c>
      <c r="C37" s="15">
        <f>'Westgard Rules'!$H$3</f>
        <v>0</v>
      </c>
      <c r="D37" s="15">
        <f>'Westgard Rules'!$H$9</f>
        <v>0</v>
      </c>
      <c r="E37" s="15">
        <f>'Westgard Rules'!$H$10</f>
        <v>0</v>
      </c>
      <c r="F37" s="15">
        <f>'Westgard Rules'!$H$11</f>
        <v>0</v>
      </c>
      <c r="G37" s="15">
        <f>'Westgard Rules'!$H$12</f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1:43" x14ac:dyDescent="0.25">
      <c r="A38" s="16">
        <f t="shared" si="0"/>
        <v>0</v>
      </c>
      <c r="B38" s="17">
        <f>'Westgard Rules'!C12</f>
        <v>0</v>
      </c>
      <c r="C38" s="18">
        <f>'Westgard Rules'!$H$3</f>
        <v>0</v>
      </c>
      <c r="D38" s="18">
        <f>'Westgard Rules'!$H$9</f>
        <v>0</v>
      </c>
      <c r="E38" s="18">
        <f>'Westgard Rules'!$H$10</f>
        <v>0</v>
      </c>
      <c r="F38" s="18">
        <f>'Westgard Rules'!$H$11</f>
        <v>0</v>
      </c>
      <c r="G38" s="18">
        <f>'Westgard Rules'!$H$12</f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spans="1:43" x14ac:dyDescent="0.25">
      <c r="A39" s="5">
        <f t="shared" si="0"/>
        <v>0</v>
      </c>
      <c r="B39" s="4">
        <f>'Westgard Rules'!C13</f>
        <v>0</v>
      </c>
      <c r="C39" s="15">
        <f>'Westgard Rules'!$H$3</f>
        <v>0</v>
      </c>
      <c r="D39" s="15">
        <f>'Westgard Rules'!$H$9</f>
        <v>0</v>
      </c>
      <c r="E39" s="15">
        <f>'Westgard Rules'!$H$10</f>
        <v>0</v>
      </c>
      <c r="F39" s="15">
        <f>'Westgard Rules'!$H$11</f>
        <v>0</v>
      </c>
      <c r="G39" s="15">
        <f>'Westgard Rules'!$H$12</f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x14ac:dyDescent="0.25">
      <c r="A40" s="16">
        <f t="shared" si="0"/>
        <v>0</v>
      </c>
      <c r="B40" s="17">
        <f>'Westgard Rules'!C14</f>
        <v>0</v>
      </c>
      <c r="C40" s="18">
        <f>'Westgard Rules'!$H$3</f>
        <v>0</v>
      </c>
      <c r="D40" s="18">
        <f>'Westgard Rules'!$H$9</f>
        <v>0</v>
      </c>
      <c r="E40" s="18">
        <f>'Westgard Rules'!$H$10</f>
        <v>0</v>
      </c>
      <c r="F40" s="18">
        <f>'Westgard Rules'!$H$11</f>
        <v>0</v>
      </c>
      <c r="G40" s="18">
        <f>'Westgard Rules'!$H$12</f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1:43" x14ac:dyDescent="0.25">
      <c r="A41" s="5">
        <f t="shared" si="0"/>
        <v>0</v>
      </c>
      <c r="B41" s="4">
        <f>'Westgard Rules'!C15</f>
        <v>0</v>
      </c>
      <c r="C41" s="15">
        <f>'Westgard Rules'!$H$3</f>
        <v>0</v>
      </c>
      <c r="D41" s="15">
        <f>'Westgard Rules'!$H$9</f>
        <v>0</v>
      </c>
      <c r="E41" s="15">
        <f>'Westgard Rules'!$H$10</f>
        <v>0</v>
      </c>
      <c r="F41" s="15">
        <f>'Westgard Rules'!$H$11</f>
        <v>0</v>
      </c>
      <c r="G41" s="15">
        <f>'Westgard Rules'!$H$12</f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1:43" x14ac:dyDescent="0.25">
      <c r="A42" s="16">
        <f t="shared" si="0"/>
        <v>0</v>
      </c>
      <c r="B42" s="17">
        <f>'Westgard Rules'!C16</f>
        <v>0</v>
      </c>
      <c r="C42" s="18">
        <f>'Westgard Rules'!$H$3</f>
        <v>0</v>
      </c>
      <c r="D42" s="18">
        <f>'Westgard Rules'!$H$9</f>
        <v>0</v>
      </c>
      <c r="E42" s="18">
        <f>'Westgard Rules'!$H$10</f>
        <v>0</v>
      </c>
      <c r="F42" s="18">
        <f>'Westgard Rules'!$H$11</f>
        <v>0</v>
      </c>
      <c r="G42" s="18">
        <f>'Westgard Rules'!$H$12</f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spans="1:43" x14ac:dyDescent="0.25">
      <c r="A43" s="5">
        <f t="shared" si="0"/>
        <v>0</v>
      </c>
      <c r="B43" s="4">
        <f>'Westgard Rules'!C17</f>
        <v>0</v>
      </c>
      <c r="C43" s="15">
        <f>'Westgard Rules'!$H$3</f>
        <v>0</v>
      </c>
      <c r="D43" s="15">
        <f>'Westgard Rules'!$H$9</f>
        <v>0</v>
      </c>
      <c r="E43" s="15">
        <f>'Westgard Rules'!$H$10</f>
        <v>0</v>
      </c>
      <c r="F43" s="15">
        <f>'Westgard Rules'!$H$11</f>
        <v>0</v>
      </c>
      <c r="G43" s="15">
        <f>'Westgard Rules'!$H$12</f>
        <v>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x14ac:dyDescent="0.25">
      <c r="A44" s="16">
        <f t="shared" si="0"/>
        <v>0</v>
      </c>
      <c r="B44" s="17">
        <f>'Westgard Rules'!C18</f>
        <v>0</v>
      </c>
      <c r="C44" s="18">
        <f>'Westgard Rules'!$H$3</f>
        <v>0</v>
      </c>
      <c r="D44" s="18">
        <f>'Westgard Rules'!$H$9</f>
        <v>0</v>
      </c>
      <c r="E44" s="18">
        <f>'Westgard Rules'!$H$10</f>
        <v>0</v>
      </c>
      <c r="F44" s="18">
        <f>'Westgard Rules'!$H$11</f>
        <v>0</v>
      </c>
      <c r="G44" s="18">
        <f>'Westgard Rules'!$H$12</f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x14ac:dyDescent="0.25">
      <c r="A45" s="5">
        <f t="shared" si="0"/>
        <v>0</v>
      </c>
      <c r="B45" s="4">
        <f>'Westgard Rules'!C19</f>
        <v>0</v>
      </c>
      <c r="C45" s="15">
        <f>'Westgard Rules'!$H$3</f>
        <v>0</v>
      </c>
      <c r="D45" s="15">
        <f>'Westgard Rules'!$H$9</f>
        <v>0</v>
      </c>
      <c r="E45" s="15">
        <f>'Westgard Rules'!$H$10</f>
        <v>0</v>
      </c>
      <c r="F45" s="15">
        <f>'Westgard Rules'!$H$11</f>
        <v>0</v>
      </c>
      <c r="G45" s="15">
        <f>'Westgard Rules'!$H$12</f>
        <v>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x14ac:dyDescent="0.25">
      <c r="A46" s="16">
        <f t="shared" si="0"/>
        <v>0</v>
      </c>
      <c r="B46" s="17">
        <f>'Westgard Rules'!C20</f>
        <v>0</v>
      </c>
      <c r="C46" s="18">
        <f>'Westgard Rules'!$H$3</f>
        <v>0</v>
      </c>
      <c r="D46" s="18">
        <f>'Westgard Rules'!$H$9</f>
        <v>0</v>
      </c>
      <c r="E46" s="18">
        <f>'Westgard Rules'!$H$10</f>
        <v>0</v>
      </c>
      <c r="F46" s="18">
        <f>'Westgard Rules'!$H$11</f>
        <v>0</v>
      </c>
      <c r="G46" s="18">
        <f>'Westgard Rules'!$H$12</f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x14ac:dyDescent="0.25">
      <c r="A47" s="5">
        <f t="shared" si="0"/>
        <v>0</v>
      </c>
      <c r="B47" s="4">
        <f>'Westgard Rules'!C21</f>
        <v>0</v>
      </c>
      <c r="C47" s="15">
        <f>'Westgard Rules'!$H$3</f>
        <v>0</v>
      </c>
      <c r="D47" s="15">
        <f>'Westgard Rules'!$H$9</f>
        <v>0</v>
      </c>
      <c r="E47" s="15">
        <f>'Westgard Rules'!$H$10</f>
        <v>0</v>
      </c>
      <c r="F47" s="15">
        <f>'Westgard Rules'!$H$11</f>
        <v>0</v>
      </c>
      <c r="G47" s="15">
        <f>'Westgard Rules'!$H$12</f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x14ac:dyDescent="0.25">
      <c r="A48" s="16">
        <f t="shared" si="0"/>
        <v>0</v>
      </c>
      <c r="B48" s="17">
        <f>'Westgard Rules'!C22</f>
        <v>0</v>
      </c>
      <c r="C48" s="18">
        <f>'Westgard Rules'!$H$3</f>
        <v>0</v>
      </c>
      <c r="D48" s="18">
        <f>'Westgard Rules'!$H$9</f>
        <v>0</v>
      </c>
      <c r="E48" s="18">
        <f>'Westgard Rules'!$H$10</f>
        <v>0</v>
      </c>
      <c r="F48" s="18">
        <f>'Westgard Rules'!$H$11</f>
        <v>0</v>
      </c>
      <c r="G48" s="18">
        <f>'Westgard Rules'!$H$12</f>
        <v>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x14ac:dyDescent="0.2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x14ac:dyDescent="0.2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ht="15" customHeight="1" x14ac:dyDescent="0.25">
      <c r="A51" s="27" t="s">
        <v>55</v>
      </c>
      <c r="B51" s="27"/>
      <c r="C51" s="27"/>
      <c r="D51" s="27"/>
      <c r="E51" s="27"/>
      <c r="F51" s="27"/>
      <c r="G51" s="2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ht="15" customHeight="1" x14ac:dyDescent="0.25">
      <c r="A52" s="27"/>
      <c r="B52" s="27"/>
      <c r="C52" s="27"/>
      <c r="D52" s="27"/>
      <c r="E52" s="27"/>
      <c r="F52" s="27"/>
      <c r="G52" s="2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1:43" ht="15.75" x14ac:dyDescent="0.25">
      <c r="A53" s="14" t="s">
        <v>49</v>
      </c>
      <c r="B53" s="14" t="s">
        <v>50</v>
      </c>
      <c r="C53" s="13" t="s">
        <v>32</v>
      </c>
      <c r="D53" s="13" t="s">
        <v>35</v>
      </c>
      <c r="E53" s="13" t="s">
        <v>52</v>
      </c>
      <c r="F53" s="13" t="s">
        <v>37</v>
      </c>
      <c r="G53" s="13" t="s">
        <v>38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x14ac:dyDescent="0.25">
      <c r="A54" s="5">
        <f>A29</f>
        <v>0</v>
      </c>
      <c r="B54" s="4">
        <f>'Westgard Rules'!D3</f>
        <v>0</v>
      </c>
      <c r="C54" s="15">
        <f>'Westgard Rules'!$I$3</f>
        <v>0</v>
      </c>
      <c r="D54" s="15">
        <f>'Westgard Rules'!$I$9</f>
        <v>0</v>
      </c>
      <c r="E54" s="15">
        <f>'Westgard Rules'!$I$10</f>
        <v>0</v>
      </c>
      <c r="F54" s="15">
        <f>'Westgard Rules'!$I$11</f>
        <v>0</v>
      </c>
      <c r="G54" s="15">
        <f>'Westgard Rules'!$I$12</f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x14ac:dyDescent="0.25">
      <c r="A55" s="16">
        <f t="shared" ref="A55:A73" si="1">A30</f>
        <v>0</v>
      </c>
      <c r="B55" s="17">
        <f>'Westgard Rules'!D4</f>
        <v>0</v>
      </c>
      <c r="C55" s="18">
        <f>'Westgard Rules'!$I$3</f>
        <v>0</v>
      </c>
      <c r="D55" s="18">
        <f>'Westgard Rules'!$I$9</f>
        <v>0</v>
      </c>
      <c r="E55" s="18">
        <f>'Westgard Rules'!$I$10</f>
        <v>0</v>
      </c>
      <c r="F55" s="18">
        <f>'Westgard Rules'!$I$11</f>
        <v>0</v>
      </c>
      <c r="G55" s="18">
        <f>'Westgard Rules'!$I$12</f>
        <v>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x14ac:dyDescent="0.25">
      <c r="A56" s="5">
        <f t="shared" si="1"/>
        <v>0</v>
      </c>
      <c r="B56" s="4">
        <f>'Westgard Rules'!D5</f>
        <v>0</v>
      </c>
      <c r="C56" s="15">
        <f>'Westgard Rules'!$I$3</f>
        <v>0</v>
      </c>
      <c r="D56" s="15">
        <f>'Westgard Rules'!$I$9</f>
        <v>0</v>
      </c>
      <c r="E56" s="15">
        <f>'Westgard Rules'!$I$10</f>
        <v>0</v>
      </c>
      <c r="F56" s="15">
        <f>'Westgard Rules'!$I$11</f>
        <v>0</v>
      </c>
      <c r="G56" s="15">
        <f>'Westgard Rules'!$I$12</f>
        <v>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x14ac:dyDescent="0.25">
      <c r="A57" s="16">
        <f t="shared" si="1"/>
        <v>0</v>
      </c>
      <c r="B57" s="17">
        <f>'Westgard Rules'!D6</f>
        <v>0</v>
      </c>
      <c r="C57" s="18">
        <f>'Westgard Rules'!$I$3</f>
        <v>0</v>
      </c>
      <c r="D57" s="18">
        <f>'Westgard Rules'!$I$9</f>
        <v>0</v>
      </c>
      <c r="E57" s="18">
        <f>'Westgard Rules'!$I$10</f>
        <v>0</v>
      </c>
      <c r="F57" s="18">
        <f>'Westgard Rules'!$I$11</f>
        <v>0</v>
      </c>
      <c r="G57" s="18">
        <f>'Westgard Rules'!$I$12</f>
        <v>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x14ac:dyDescent="0.25">
      <c r="A58" s="5">
        <f t="shared" si="1"/>
        <v>0</v>
      </c>
      <c r="B58" s="4">
        <f>'Westgard Rules'!D7</f>
        <v>0</v>
      </c>
      <c r="C58" s="15">
        <f>'Westgard Rules'!$I$3</f>
        <v>0</v>
      </c>
      <c r="D58" s="15">
        <f>'Westgard Rules'!$I$9</f>
        <v>0</v>
      </c>
      <c r="E58" s="15">
        <f>'Westgard Rules'!$I$10</f>
        <v>0</v>
      </c>
      <c r="F58" s="15">
        <f>'Westgard Rules'!$I$11</f>
        <v>0</v>
      </c>
      <c r="G58" s="15">
        <f>'Westgard Rules'!$I$12</f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x14ac:dyDescent="0.25">
      <c r="A59" s="16">
        <f t="shared" si="1"/>
        <v>0</v>
      </c>
      <c r="B59" s="17">
        <f>'Westgard Rules'!D8</f>
        <v>0</v>
      </c>
      <c r="C59" s="18">
        <f>'Westgard Rules'!$I$3</f>
        <v>0</v>
      </c>
      <c r="D59" s="18">
        <f>'Westgard Rules'!$I$9</f>
        <v>0</v>
      </c>
      <c r="E59" s="18">
        <f>'Westgard Rules'!$I$10</f>
        <v>0</v>
      </c>
      <c r="F59" s="18">
        <f>'Westgard Rules'!$I$11</f>
        <v>0</v>
      </c>
      <c r="G59" s="18">
        <f>'Westgard Rules'!$I$12</f>
        <v>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x14ac:dyDescent="0.25">
      <c r="A60" s="5">
        <f t="shared" si="1"/>
        <v>0</v>
      </c>
      <c r="B60" s="4">
        <f>'Westgard Rules'!D9</f>
        <v>0</v>
      </c>
      <c r="C60" s="15">
        <f>'Westgard Rules'!$I$3</f>
        <v>0</v>
      </c>
      <c r="D60" s="15">
        <f>'Westgard Rules'!$I$9</f>
        <v>0</v>
      </c>
      <c r="E60" s="15">
        <f>'Westgard Rules'!$I$10</f>
        <v>0</v>
      </c>
      <c r="F60" s="15">
        <f>'Westgard Rules'!$I$11</f>
        <v>0</v>
      </c>
      <c r="G60" s="15">
        <f>'Westgard Rules'!$I$12</f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x14ac:dyDescent="0.25">
      <c r="A61" s="16">
        <f t="shared" si="1"/>
        <v>0</v>
      </c>
      <c r="B61" s="17">
        <f>'Westgard Rules'!D10</f>
        <v>0</v>
      </c>
      <c r="C61" s="18">
        <f>'Westgard Rules'!$I$3</f>
        <v>0</v>
      </c>
      <c r="D61" s="18">
        <f>'Westgard Rules'!$I$9</f>
        <v>0</v>
      </c>
      <c r="E61" s="18">
        <f>'Westgard Rules'!$I$10</f>
        <v>0</v>
      </c>
      <c r="F61" s="18">
        <f>'Westgard Rules'!$I$11</f>
        <v>0</v>
      </c>
      <c r="G61" s="18">
        <f>'Westgard Rules'!$I$12</f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x14ac:dyDescent="0.25">
      <c r="A62" s="5">
        <f t="shared" si="1"/>
        <v>0</v>
      </c>
      <c r="B62" s="4">
        <f>'Westgard Rules'!D11</f>
        <v>0</v>
      </c>
      <c r="C62" s="15">
        <f>'Westgard Rules'!$I$3</f>
        <v>0</v>
      </c>
      <c r="D62" s="15">
        <f>'Westgard Rules'!$I$9</f>
        <v>0</v>
      </c>
      <c r="E62" s="15">
        <f>'Westgard Rules'!$I$10</f>
        <v>0</v>
      </c>
      <c r="F62" s="15">
        <f>'Westgard Rules'!$I$11</f>
        <v>0</v>
      </c>
      <c r="G62" s="15">
        <f>'Westgard Rules'!$I$12</f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x14ac:dyDescent="0.25">
      <c r="A63" s="16">
        <f t="shared" si="1"/>
        <v>0</v>
      </c>
      <c r="B63" s="17">
        <f>'Westgard Rules'!D12</f>
        <v>0</v>
      </c>
      <c r="C63" s="18">
        <f>'Westgard Rules'!$I$3</f>
        <v>0</v>
      </c>
      <c r="D63" s="18">
        <f>'Westgard Rules'!$I$9</f>
        <v>0</v>
      </c>
      <c r="E63" s="18">
        <f>'Westgard Rules'!$I$10</f>
        <v>0</v>
      </c>
      <c r="F63" s="18">
        <f>'Westgard Rules'!$I$11</f>
        <v>0</v>
      </c>
      <c r="G63" s="18">
        <f>'Westgard Rules'!$I$12</f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x14ac:dyDescent="0.25">
      <c r="A64" s="5">
        <f t="shared" si="1"/>
        <v>0</v>
      </c>
      <c r="B64" s="4">
        <f>'Westgard Rules'!D13</f>
        <v>0</v>
      </c>
      <c r="C64" s="15">
        <f>'Westgard Rules'!$I$3</f>
        <v>0</v>
      </c>
      <c r="D64" s="15">
        <f>'Westgard Rules'!$I$9</f>
        <v>0</v>
      </c>
      <c r="E64" s="15">
        <f>'Westgard Rules'!$I$10</f>
        <v>0</v>
      </c>
      <c r="F64" s="15">
        <f>'Westgard Rules'!$I$11</f>
        <v>0</v>
      </c>
      <c r="G64" s="15">
        <f>'Westgard Rules'!$I$12</f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x14ac:dyDescent="0.25">
      <c r="A65" s="16">
        <f t="shared" si="1"/>
        <v>0</v>
      </c>
      <c r="B65" s="17">
        <f>'Westgard Rules'!D14</f>
        <v>0</v>
      </c>
      <c r="C65" s="18">
        <f>'Westgard Rules'!$I$3</f>
        <v>0</v>
      </c>
      <c r="D65" s="18">
        <f>'Westgard Rules'!$I$9</f>
        <v>0</v>
      </c>
      <c r="E65" s="18">
        <f>'Westgard Rules'!$I$10</f>
        <v>0</v>
      </c>
      <c r="F65" s="18">
        <f>'Westgard Rules'!$I$11</f>
        <v>0</v>
      </c>
      <c r="G65" s="18">
        <f>'Westgard Rules'!$I$12</f>
        <v>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x14ac:dyDescent="0.25">
      <c r="A66" s="5">
        <f t="shared" si="1"/>
        <v>0</v>
      </c>
      <c r="B66" s="4">
        <f>'Westgard Rules'!D15</f>
        <v>0</v>
      </c>
      <c r="C66" s="15">
        <f>'Westgard Rules'!$I$3</f>
        <v>0</v>
      </c>
      <c r="D66" s="15">
        <f>'Westgard Rules'!$I$9</f>
        <v>0</v>
      </c>
      <c r="E66" s="15">
        <f>'Westgard Rules'!$I$10</f>
        <v>0</v>
      </c>
      <c r="F66" s="15">
        <f>'Westgard Rules'!$I$11</f>
        <v>0</v>
      </c>
      <c r="G66" s="15">
        <f>'Westgard Rules'!$I$12</f>
        <v>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x14ac:dyDescent="0.25">
      <c r="A67" s="16">
        <f t="shared" si="1"/>
        <v>0</v>
      </c>
      <c r="B67" s="17">
        <f>'Westgard Rules'!D16</f>
        <v>0</v>
      </c>
      <c r="C67" s="18">
        <f>'Westgard Rules'!$I$3</f>
        <v>0</v>
      </c>
      <c r="D67" s="18">
        <f>'Westgard Rules'!$I$9</f>
        <v>0</v>
      </c>
      <c r="E67" s="18">
        <f>'Westgard Rules'!$I$10</f>
        <v>0</v>
      </c>
      <c r="F67" s="18">
        <f>'Westgard Rules'!$I$11</f>
        <v>0</v>
      </c>
      <c r="G67" s="18">
        <f>'Westgard Rules'!$I$12</f>
        <v>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x14ac:dyDescent="0.25">
      <c r="A68" s="5">
        <f>A43</f>
        <v>0</v>
      </c>
      <c r="B68" s="4">
        <f>'Westgard Rules'!D17</f>
        <v>0</v>
      </c>
      <c r="C68" s="15">
        <f>'Westgard Rules'!$I$3</f>
        <v>0</v>
      </c>
      <c r="D68" s="15">
        <f>'Westgard Rules'!$I$9</f>
        <v>0</v>
      </c>
      <c r="E68" s="15">
        <f>'Westgard Rules'!$I$10</f>
        <v>0</v>
      </c>
      <c r="F68" s="15">
        <f>'Westgard Rules'!$I$11</f>
        <v>0</v>
      </c>
      <c r="G68" s="15">
        <f>'Westgard Rules'!$I$12</f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x14ac:dyDescent="0.25">
      <c r="A69" s="16">
        <f t="shared" si="1"/>
        <v>0</v>
      </c>
      <c r="B69" s="17">
        <f>'Westgard Rules'!D18</f>
        <v>0</v>
      </c>
      <c r="C69" s="18">
        <f>'Westgard Rules'!$I$3</f>
        <v>0</v>
      </c>
      <c r="D69" s="18">
        <f>'Westgard Rules'!$I$9</f>
        <v>0</v>
      </c>
      <c r="E69" s="18">
        <f>'Westgard Rules'!$I$10</f>
        <v>0</v>
      </c>
      <c r="F69" s="18">
        <f>'Westgard Rules'!$I$11</f>
        <v>0</v>
      </c>
      <c r="G69" s="18">
        <f>'Westgard Rules'!$I$12</f>
        <v>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x14ac:dyDescent="0.25">
      <c r="A70" s="5">
        <f t="shared" si="1"/>
        <v>0</v>
      </c>
      <c r="B70" s="4">
        <f>'Westgard Rules'!D19</f>
        <v>0</v>
      </c>
      <c r="C70" s="15">
        <f>'Westgard Rules'!$I$3</f>
        <v>0</v>
      </c>
      <c r="D70" s="15">
        <f>'Westgard Rules'!$I$9</f>
        <v>0</v>
      </c>
      <c r="E70" s="15">
        <f>'Westgard Rules'!$I$10</f>
        <v>0</v>
      </c>
      <c r="F70" s="15">
        <f>'Westgard Rules'!$I$11</f>
        <v>0</v>
      </c>
      <c r="G70" s="15">
        <f>'Westgard Rules'!$I$12</f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x14ac:dyDescent="0.25">
      <c r="A71" s="16">
        <f t="shared" si="1"/>
        <v>0</v>
      </c>
      <c r="B71" s="17">
        <f>'Westgard Rules'!D20</f>
        <v>0</v>
      </c>
      <c r="C71" s="18">
        <f>'Westgard Rules'!$I$3</f>
        <v>0</v>
      </c>
      <c r="D71" s="18">
        <f>'Westgard Rules'!$I$9</f>
        <v>0</v>
      </c>
      <c r="E71" s="18">
        <f>'Westgard Rules'!$I$10</f>
        <v>0</v>
      </c>
      <c r="F71" s="18">
        <f>'Westgard Rules'!$I$11</f>
        <v>0</v>
      </c>
      <c r="G71" s="18">
        <f>'Westgard Rules'!$I$12</f>
        <v>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x14ac:dyDescent="0.25">
      <c r="A72" s="5">
        <f t="shared" si="1"/>
        <v>0</v>
      </c>
      <c r="B72" s="4">
        <f>'Westgard Rules'!D21</f>
        <v>0</v>
      </c>
      <c r="C72" s="15">
        <f>'Westgard Rules'!$I$3</f>
        <v>0</v>
      </c>
      <c r="D72" s="15">
        <f>'Westgard Rules'!$I$9</f>
        <v>0</v>
      </c>
      <c r="E72" s="15">
        <f>'Westgard Rules'!$I$10</f>
        <v>0</v>
      </c>
      <c r="F72" s="15">
        <f>'Westgard Rules'!$I$11</f>
        <v>0</v>
      </c>
      <c r="G72" s="15">
        <f>'Westgard Rules'!$I$12</f>
        <v>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x14ac:dyDescent="0.25">
      <c r="A73" s="16">
        <f t="shared" si="1"/>
        <v>0</v>
      </c>
      <c r="B73" s="17">
        <f>'Westgard Rules'!D22</f>
        <v>0</v>
      </c>
      <c r="C73" s="18">
        <f>'Westgard Rules'!$I$3</f>
        <v>0</v>
      </c>
      <c r="D73" s="18">
        <f>'Westgard Rules'!$I$9</f>
        <v>0</v>
      </c>
      <c r="E73" s="18">
        <f>'Westgard Rules'!$I$10</f>
        <v>0</v>
      </c>
      <c r="F73" s="18">
        <f>'Westgard Rules'!$I$11</f>
        <v>0</v>
      </c>
      <c r="G73" s="18">
        <f>'Westgard Rules'!$I$12</f>
        <v>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x14ac:dyDescent="0.2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x14ac:dyDescent="0.2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x14ac:dyDescent="0.25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:4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:4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:4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1:4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:4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1:4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1:4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:4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:4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:4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:4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:4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:4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:4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:4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:4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:4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:4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:4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:4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:4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:4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:4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:4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:4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:4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:4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:4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:4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:4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:4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:4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:4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:4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:4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:4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:4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:4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:4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:4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:4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:4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:4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:4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:4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:4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:4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:4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:4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:4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:4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:4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:4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:4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:43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</sheetData>
  <mergeCells count="3">
    <mergeCell ref="A1:G2"/>
    <mergeCell ref="A26:G27"/>
    <mergeCell ref="A51:G5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DCC0-A525-4D99-8320-74AC91F7D989}">
  <dimension ref="A1:AD64"/>
  <sheetViews>
    <sheetView tabSelected="1" workbookViewId="0">
      <selection activeCell="H13" sqref="H13"/>
    </sheetView>
  </sheetViews>
  <sheetFormatPr defaultRowHeight="15" x14ac:dyDescent="0.25"/>
  <cols>
    <col min="1" max="2" width="15" customWidth="1"/>
    <col min="3" max="3" width="12.42578125" customWidth="1"/>
    <col min="4" max="4" width="15" customWidth="1"/>
    <col min="5" max="5" width="14.28515625" customWidth="1"/>
    <col min="6" max="6" width="15.28515625" customWidth="1"/>
    <col min="7" max="7" width="12.7109375" customWidth="1"/>
    <col min="8" max="8" width="17.28515625" customWidth="1"/>
    <col min="9" max="9" width="16.5703125" customWidth="1"/>
    <col min="10" max="10" width="9.7109375" customWidth="1"/>
    <col min="11" max="11" width="16.7109375" customWidth="1"/>
    <col min="12" max="12" width="18.5703125" customWidth="1"/>
    <col min="13" max="13" width="18.42578125" customWidth="1"/>
    <col min="14" max="14" width="18.28515625" customWidth="1"/>
    <col min="15" max="15" width="15.140625" customWidth="1"/>
    <col min="16" max="16" width="17.42578125" customWidth="1"/>
    <col min="17" max="17" width="13.140625" customWidth="1"/>
    <col min="18" max="18" width="14.42578125" customWidth="1"/>
    <col min="19" max="19" width="13.7109375" customWidth="1"/>
    <col min="20" max="20" width="11" customWidth="1"/>
    <col min="21" max="21" width="13.7109375" customWidth="1"/>
    <col min="22" max="22" width="14.85546875" customWidth="1"/>
    <col min="23" max="23" width="18.42578125" customWidth="1"/>
    <col min="24" max="24" width="9.7109375" customWidth="1"/>
    <col min="25" max="25" width="16" customWidth="1"/>
    <col min="26" max="26" width="9.5703125" customWidth="1"/>
    <col min="27" max="27" width="11.28515625" customWidth="1"/>
    <col min="28" max="28" width="17.85546875" customWidth="1"/>
    <col min="29" max="29" width="13.140625" customWidth="1"/>
    <col min="30" max="30" width="14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51</v>
      </c>
    </row>
    <row r="2" spans="1:30" x14ac:dyDescent="0.25">
      <c r="E2" s="20"/>
      <c r="F2" s="20"/>
      <c r="J2" s="20"/>
      <c r="K2" s="21"/>
      <c r="L2" s="21"/>
      <c r="AA2" s="22"/>
    </row>
    <row r="3" spans="1:30" x14ac:dyDescent="0.25">
      <c r="E3" s="20"/>
      <c r="F3" s="20"/>
      <c r="J3" s="20"/>
      <c r="K3" s="21"/>
      <c r="L3" s="21"/>
      <c r="AA3" s="22"/>
    </row>
    <row r="4" spans="1:30" x14ac:dyDescent="0.25">
      <c r="E4" s="20"/>
      <c r="F4" s="20"/>
      <c r="J4" s="20"/>
      <c r="K4" s="21"/>
      <c r="L4" s="21"/>
      <c r="AA4" s="22"/>
    </row>
    <row r="5" spans="1:30" x14ac:dyDescent="0.25">
      <c r="E5" s="20"/>
      <c r="F5" s="20"/>
      <c r="J5" s="20"/>
      <c r="K5" s="21"/>
      <c r="L5" s="21"/>
      <c r="AA5" s="22"/>
    </row>
    <row r="6" spans="1:30" x14ac:dyDescent="0.25">
      <c r="E6" s="20"/>
      <c r="F6" s="20"/>
      <c r="J6" s="20"/>
      <c r="K6" s="21"/>
      <c r="L6" s="21"/>
      <c r="AA6" s="22"/>
    </row>
    <row r="7" spans="1:30" x14ac:dyDescent="0.25">
      <c r="E7" s="20"/>
      <c r="F7" s="20"/>
      <c r="J7" s="20"/>
      <c r="K7" s="21"/>
      <c r="L7" s="21"/>
      <c r="AA7" s="22"/>
    </row>
    <row r="8" spans="1:30" x14ac:dyDescent="0.25">
      <c r="E8" s="20"/>
      <c r="F8" s="20"/>
      <c r="J8" s="20"/>
      <c r="K8" s="21"/>
      <c r="L8" s="21"/>
      <c r="AA8" s="22"/>
    </row>
    <row r="9" spans="1:30" x14ac:dyDescent="0.25">
      <c r="E9" s="20"/>
      <c r="F9" s="20"/>
      <c r="J9" s="20"/>
      <c r="K9" s="21"/>
      <c r="L9" s="21"/>
      <c r="AA9" s="22"/>
    </row>
    <row r="10" spans="1:30" x14ac:dyDescent="0.25">
      <c r="E10" s="20"/>
      <c r="F10" s="20"/>
      <c r="J10" s="20"/>
      <c r="K10" s="21"/>
      <c r="L10" s="21"/>
      <c r="AA10" s="22"/>
    </row>
    <row r="11" spans="1:30" x14ac:dyDescent="0.25">
      <c r="E11" s="20"/>
      <c r="F11" s="20"/>
      <c r="J11" s="20"/>
      <c r="K11" s="21"/>
      <c r="L11" s="21"/>
      <c r="AA11" s="22"/>
    </row>
    <row r="12" spans="1:30" x14ac:dyDescent="0.25">
      <c r="E12" s="20"/>
      <c r="F12" s="20"/>
      <c r="J12" s="20"/>
      <c r="K12" s="21"/>
      <c r="L12" s="21"/>
      <c r="AA12" s="22"/>
    </row>
    <row r="13" spans="1:30" x14ac:dyDescent="0.25">
      <c r="E13" s="20"/>
      <c r="F13" s="20"/>
      <c r="J13" s="20"/>
      <c r="K13" s="21"/>
      <c r="L13" s="21"/>
      <c r="AA13" s="22"/>
    </row>
    <row r="14" spans="1:30" x14ac:dyDescent="0.25">
      <c r="E14" s="20"/>
      <c r="F14" s="20"/>
      <c r="J14" s="20"/>
      <c r="K14" s="21"/>
      <c r="L14" s="21"/>
      <c r="AA14" s="22"/>
    </row>
    <row r="15" spans="1:30" x14ac:dyDescent="0.25">
      <c r="E15" s="20"/>
      <c r="F15" s="20"/>
      <c r="J15" s="20"/>
      <c r="K15" s="21"/>
      <c r="L15" s="21"/>
      <c r="AA15" s="22"/>
    </row>
    <row r="16" spans="1:30" x14ac:dyDescent="0.25">
      <c r="E16" s="20"/>
      <c r="F16" s="20"/>
      <c r="J16" s="20"/>
      <c r="K16" s="21"/>
      <c r="L16" s="21"/>
      <c r="AA16" s="22"/>
    </row>
    <row r="17" spans="5:27" x14ac:dyDescent="0.25">
      <c r="E17" s="20"/>
      <c r="F17" s="20"/>
      <c r="J17" s="20"/>
      <c r="K17" s="21"/>
      <c r="L17" s="21"/>
      <c r="AA17" s="22"/>
    </row>
    <row r="18" spans="5:27" x14ac:dyDescent="0.25">
      <c r="E18" s="20"/>
      <c r="F18" s="20"/>
      <c r="J18" s="20"/>
      <c r="K18" s="21"/>
      <c r="L18" s="21"/>
      <c r="AA18" s="22"/>
    </row>
    <row r="19" spans="5:27" x14ac:dyDescent="0.25">
      <c r="E19" s="20"/>
      <c r="F19" s="20"/>
      <c r="J19" s="20"/>
      <c r="K19" s="21"/>
      <c r="L19" s="21"/>
      <c r="AA19" s="22"/>
    </row>
    <row r="20" spans="5:27" x14ac:dyDescent="0.25">
      <c r="E20" s="20"/>
      <c r="F20" s="20"/>
      <c r="J20" s="20"/>
      <c r="K20" s="21"/>
      <c r="L20" s="21"/>
      <c r="AA20" s="22"/>
    </row>
    <row r="21" spans="5:27" x14ac:dyDescent="0.25">
      <c r="E21" s="20"/>
      <c r="F21" s="20"/>
      <c r="J21" s="20"/>
      <c r="K21" s="21"/>
      <c r="L21" s="21"/>
      <c r="AA21" s="22"/>
    </row>
    <row r="22" spans="5:27" x14ac:dyDescent="0.25">
      <c r="E22" s="20"/>
      <c r="F22" s="20"/>
      <c r="J22" s="20"/>
      <c r="K22" s="21"/>
      <c r="L22" s="21"/>
      <c r="AA22" s="22"/>
    </row>
    <row r="23" spans="5:27" x14ac:dyDescent="0.25">
      <c r="E23" s="20"/>
      <c r="F23" s="20"/>
      <c r="J23" s="20"/>
      <c r="K23" s="21"/>
      <c r="L23" s="21"/>
      <c r="AA23" s="22"/>
    </row>
    <row r="24" spans="5:27" x14ac:dyDescent="0.25">
      <c r="E24" s="20"/>
      <c r="F24" s="20"/>
      <c r="J24" s="20"/>
      <c r="K24" s="21"/>
      <c r="L24" s="21"/>
      <c r="AA24" s="22"/>
    </row>
    <row r="25" spans="5:27" x14ac:dyDescent="0.25">
      <c r="E25" s="20"/>
      <c r="F25" s="20"/>
      <c r="J25" s="20"/>
      <c r="K25" s="21"/>
      <c r="L25" s="21"/>
      <c r="AA25" s="22"/>
    </row>
    <row r="26" spans="5:27" x14ac:dyDescent="0.25">
      <c r="E26" s="20"/>
      <c r="F26" s="20"/>
      <c r="J26" s="20"/>
      <c r="K26" s="21"/>
      <c r="L26" s="21"/>
      <c r="AA26" s="22"/>
    </row>
    <row r="27" spans="5:27" x14ac:dyDescent="0.25">
      <c r="E27" s="20"/>
      <c r="F27" s="20"/>
      <c r="J27" s="20"/>
      <c r="K27" s="21"/>
      <c r="L27" s="21"/>
      <c r="AA27" s="22"/>
    </row>
    <row r="28" spans="5:27" x14ac:dyDescent="0.25">
      <c r="E28" s="20"/>
      <c r="F28" s="20"/>
      <c r="J28" s="20"/>
      <c r="K28" s="21"/>
      <c r="L28" s="21"/>
      <c r="AA28" s="22"/>
    </row>
    <row r="29" spans="5:27" x14ac:dyDescent="0.25">
      <c r="E29" s="20"/>
      <c r="F29" s="20"/>
      <c r="J29" s="20"/>
      <c r="K29" s="21"/>
      <c r="L29" s="21"/>
      <c r="AA29" s="22"/>
    </row>
    <row r="30" spans="5:27" x14ac:dyDescent="0.25">
      <c r="E30" s="20"/>
      <c r="F30" s="20"/>
      <c r="J30" s="20"/>
      <c r="K30" s="21"/>
      <c r="L30" s="21"/>
      <c r="AA30" s="22"/>
    </row>
    <row r="31" spans="5:27" x14ac:dyDescent="0.25">
      <c r="E31" s="20"/>
      <c r="F31" s="20"/>
      <c r="J31" s="20"/>
      <c r="K31" s="21"/>
      <c r="L31" s="21"/>
      <c r="AA31" s="22"/>
    </row>
    <row r="32" spans="5:27" x14ac:dyDescent="0.25">
      <c r="E32" s="20"/>
      <c r="F32" s="20"/>
      <c r="J32" s="20"/>
      <c r="K32" s="21"/>
      <c r="L32" s="21"/>
      <c r="AA32" s="22"/>
    </row>
    <row r="33" spans="5:27" x14ac:dyDescent="0.25">
      <c r="E33" s="20"/>
      <c r="F33" s="20"/>
      <c r="J33" s="20"/>
      <c r="K33" s="21"/>
      <c r="L33" s="21"/>
      <c r="AA33" s="22"/>
    </row>
    <row r="34" spans="5:27" x14ac:dyDescent="0.25">
      <c r="E34" s="20"/>
      <c r="F34" s="20"/>
      <c r="J34" s="20"/>
      <c r="K34" s="21"/>
      <c r="L34" s="21"/>
      <c r="AA34" s="22"/>
    </row>
    <row r="35" spans="5:27" x14ac:dyDescent="0.25">
      <c r="E35" s="20"/>
      <c r="F35" s="20"/>
      <c r="J35" s="20"/>
      <c r="K35" s="21"/>
      <c r="L35" s="21"/>
      <c r="AA35" s="22"/>
    </row>
    <row r="36" spans="5:27" x14ac:dyDescent="0.25">
      <c r="E36" s="20"/>
      <c r="F36" s="20"/>
      <c r="J36" s="20"/>
      <c r="K36" s="21"/>
      <c r="L36" s="21"/>
      <c r="AA36" s="22"/>
    </row>
    <row r="37" spans="5:27" x14ac:dyDescent="0.25">
      <c r="E37" s="20"/>
      <c r="F37" s="20"/>
      <c r="J37" s="20"/>
      <c r="K37" s="21"/>
      <c r="L37" s="21"/>
      <c r="AA37" s="22"/>
    </row>
    <row r="38" spans="5:27" x14ac:dyDescent="0.25">
      <c r="E38" s="20"/>
      <c r="F38" s="20"/>
      <c r="J38" s="20"/>
      <c r="K38" s="21"/>
      <c r="L38" s="21"/>
      <c r="AA38" s="22"/>
    </row>
    <row r="39" spans="5:27" x14ac:dyDescent="0.25">
      <c r="E39" s="20"/>
      <c r="F39" s="20"/>
      <c r="J39" s="20"/>
      <c r="K39" s="21"/>
      <c r="L39" s="21"/>
      <c r="AA39" s="22"/>
    </row>
    <row r="40" spans="5:27" x14ac:dyDescent="0.25">
      <c r="E40" s="20"/>
      <c r="F40" s="20"/>
      <c r="J40" s="20"/>
      <c r="K40" s="21"/>
      <c r="L40" s="21"/>
      <c r="AA40" s="22"/>
    </row>
    <row r="41" spans="5:27" x14ac:dyDescent="0.25">
      <c r="E41" s="20"/>
      <c r="F41" s="20"/>
      <c r="J41" s="20"/>
      <c r="K41" s="21"/>
      <c r="L41" s="21"/>
      <c r="AA41" s="22"/>
    </row>
    <row r="42" spans="5:27" x14ac:dyDescent="0.25">
      <c r="E42" s="20"/>
      <c r="F42" s="20"/>
      <c r="J42" s="20"/>
      <c r="K42" s="21"/>
      <c r="L42" s="21"/>
      <c r="AA42" s="22"/>
    </row>
    <row r="43" spans="5:27" x14ac:dyDescent="0.25">
      <c r="E43" s="20"/>
      <c r="F43" s="20"/>
      <c r="J43" s="20"/>
      <c r="K43" s="21"/>
      <c r="L43" s="21"/>
      <c r="AA43" s="22"/>
    </row>
    <row r="44" spans="5:27" x14ac:dyDescent="0.25">
      <c r="E44" s="20"/>
      <c r="F44" s="20"/>
      <c r="J44" s="20"/>
      <c r="K44" s="21"/>
      <c r="L44" s="21"/>
      <c r="AA44" s="22"/>
    </row>
    <row r="45" spans="5:27" x14ac:dyDescent="0.25">
      <c r="E45" s="20"/>
      <c r="F45" s="20"/>
      <c r="J45" s="20"/>
      <c r="K45" s="21"/>
      <c r="L45" s="21"/>
      <c r="AA45" s="22"/>
    </row>
    <row r="46" spans="5:27" x14ac:dyDescent="0.25">
      <c r="E46" s="20"/>
      <c r="F46" s="20"/>
      <c r="J46" s="20"/>
      <c r="K46" s="21"/>
      <c r="L46" s="21"/>
      <c r="AA46" s="22"/>
    </row>
    <row r="47" spans="5:27" x14ac:dyDescent="0.25">
      <c r="E47" s="20"/>
      <c r="F47" s="20"/>
      <c r="J47" s="20"/>
      <c r="K47" s="21"/>
      <c r="L47" s="21"/>
      <c r="AA47" s="22"/>
    </row>
    <row r="48" spans="5:27" x14ac:dyDescent="0.25">
      <c r="E48" s="20"/>
      <c r="F48" s="20"/>
      <c r="J48" s="20"/>
      <c r="K48" s="21"/>
      <c r="L48" s="21"/>
      <c r="AA48" s="22"/>
    </row>
    <row r="49" spans="5:30" x14ac:dyDescent="0.25">
      <c r="E49" s="20"/>
      <c r="F49" s="20"/>
      <c r="J49" s="20"/>
      <c r="K49" s="21"/>
      <c r="L49" s="21"/>
      <c r="AA49" s="22"/>
    </row>
    <row r="50" spans="5:30" x14ac:dyDescent="0.25">
      <c r="E50" s="20"/>
      <c r="F50" s="20"/>
      <c r="J50" s="20"/>
      <c r="K50" s="21"/>
      <c r="L50" s="21"/>
      <c r="AA50" s="22"/>
    </row>
    <row r="51" spans="5:30" x14ac:dyDescent="0.25">
      <c r="E51" s="20"/>
      <c r="F51" s="20"/>
      <c r="J51" s="20"/>
      <c r="K51" s="21"/>
      <c r="L51" s="21"/>
      <c r="AA51" s="22"/>
    </row>
    <row r="52" spans="5:30" x14ac:dyDescent="0.25">
      <c r="E52" s="20"/>
      <c r="F52" s="20"/>
      <c r="J52" s="20"/>
      <c r="K52" s="21"/>
      <c r="L52" s="21"/>
      <c r="AA52" s="22"/>
    </row>
    <row r="53" spans="5:30" x14ac:dyDescent="0.25">
      <c r="E53" s="20"/>
      <c r="F53" s="20"/>
      <c r="J53" s="20"/>
      <c r="K53" s="21"/>
      <c r="L53" s="21"/>
      <c r="AA53" s="22"/>
    </row>
    <row r="54" spans="5:30" x14ac:dyDescent="0.25">
      <c r="E54" s="20"/>
      <c r="F54" s="20"/>
      <c r="J54" s="20"/>
      <c r="K54" s="21"/>
      <c r="L54" s="21"/>
      <c r="AA54" s="22"/>
    </row>
    <row r="55" spans="5:30" x14ac:dyDescent="0.25">
      <c r="E55" s="20"/>
      <c r="F55" s="20"/>
      <c r="J55" s="20"/>
      <c r="K55" s="21"/>
      <c r="L55" s="21"/>
      <c r="AA55" s="22"/>
    </row>
    <row r="56" spans="5:30" x14ac:dyDescent="0.25">
      <c r="E56" s="20"/>
      <c r="F56" s="20"/>
      <c r="J56" s="20"/>
      <c r="K56" s="21"/>
      <c r="L56" s="21"/>
      <c r="AA56" s="22"/>
    </row>
    <row r="57" spans="5:30" x14ac:dyDescent="0.25">
      <c r="E57" s="20"/>
      <c r="F57" s="20"/>
      <c r="J57" s="20"/>
      <c r="K57" s="21"/>
      <c r="L57" s="21"/>
      <c r="AA57" s="22"/>
    </row>
    <row r="58" spans="5:30" x14ac:dyDescent="0.25">
      <c r="E58" s="20"/>
      <c r="F58" s="20"/>
      <c r="J58" s="20"/>
      <c r="K58" s="21"/>
      <c r="L58" s="21"/>
      <c r="AA58" s="22"/>
    </row>
    <row r="59" spans="5:30" x14ac:dyDescent="0.25">
      <c r="E59" s="20"/>
      <c r="F59" s="20"/>
      <c r="J59" s="20"/>
      <c r="K59" s="21"/>
      <c r="L59" s="21"/>
      <c r="AA59" s="22"/>
    </row>
    <row r="60" spans="5:30" x14ac:dyDescent="0.25">
      <c r="E60" s="20"/>
      <c r="F60" s="20"/>
      <c r="J60" s="20"/>
      <c r="K60" s="21"/>
      <c r="L60" s="21"/>
      <c r="AA60" s="22"/>
    </row>
    <row r="61" spans="5:30" x14ac:dyDescent="0.25">
      <c r="E61" s="20"/>
      <c r="F61" s="20"/>
      <c r="J61" s="20"/>
      <c r="K61" s="21"/>
      <c r="L61" s="21"/>
      <c r="AA61" s="22"/>
    </row>
    <row r="62" spans="5:30" x14ac:dyDescent="0.25">
      <c r="E62" s="1"/>
      <c r="J62" s="1"/>
      <c r="AD62" t="e">
        <f>MATCH(G:G,{"QL","QM","QH"},0)</f>
        <v>#N/A</v>
      </c>
    </row>
    <row r="63" spans="5:30" x14ac:dyDescent="0.25">
      <c r="E63" s="1"/>
      <c r="J63" s="1"/>
      <c r="AD63" t="e">
        <f>MATCH(G:G,{"QL","QM","QH"},0)</f>
        <v>#N/A</v>
      </c>
    </row>
    <row r="64" spans="5:30" x14ac:dyDescent="0.25">
      <c r="E64" s="1"/>
      <c r="J64" s="1"/>
      <c r="AD64" t="e">
        <f>MATCH(G:G,{"QL","QM","QH"},0)</f>
        <v>#N/A</v>
      </c>
    </row>
  </sheetData>
  <sortState xmlns:xlrd2="http://schemas.microsoft.com/office/spreadsheetml/2017/richdata2" ref="A2:AC62">
    <sortCondition ref="G2:G62" customList="QL,QM,QH"/>
  </sortState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Westgard Rules</vt:lpstr>
      <vt:lpstr>Charts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Niemi</dc:creator>
  <cp:lastModifiedBy>Niemi, Benjamin</cp:lastModifiedBy>
  <dcterms:created xsi:type="dcterms:W3CDTF">2026-01-02T13:42:41Z</dcterms:created>
  <dcterms:modified xsi:type="dcterms:W3CDTF">2026-06-22T13:53:06Z</dcterms:modified>
</cp:coreProperties>
</file>